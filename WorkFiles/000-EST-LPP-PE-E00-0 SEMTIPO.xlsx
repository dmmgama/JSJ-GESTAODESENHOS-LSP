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SJ\JSJ AI\JSJ-GestaoDesenhos-LSP\WorkFiles\"/>
    </mc:Choice>
  </mc:AlternateContent>
  <xr:revisionPtr revIDLastSave="0" documentId="13_ncr:1_{B0EA1542-9BE1-4572-B25D-726FDDBF4B1F}" xr6:coauthVersionLast="47" xr6:coauthVersionMax="47" xr10:uidLastSave="{00000000-0000-0000-0000-000000000000}"/>
  <bookViews>
    <workbookView xWindow="-108" yWindow="-108" windowWidth="23256" windowHeight="12576" xr2:uid="{71569CE7-53CB-4578-B5B0-1BD9FCC25009}"/>
  </bookViews>
  <sheets>
    <sheet name="779-LPP" sheetId="42" r:id="rId1"/>
  </sheets>
  <externalReferences>
    <externalReference r:id="rId2"/>
  </externalReferences>
  <definedNames>
    <definedName name="_xlnm._FilterDatabase" localSheetId="0" hidden="1">'779-LPP'!$A$1:$A$136</definedName>
    <definedName name="_Order1" hidden="1">0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IntroPrintArea" hidden="1">#REF!</definedName>
    <definedName name="_xlnm.Print_Area" localSheetId="0">'779-LPP'!$A$1:$M$116</definedName>
    <definedName name="_xlnm.Print_Titles" localSheetId="0">'779-LPP'!$2:$11</definedName>
    <definedName name="Resumo2" hidden="1">'[1]Estimativa TD-GPII - Armazéns'!#REF!</definedName>
    <definedName name="resumo3" hidden="1">'[1]Estimativa TD-GPII - Armazéns'!#REF!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42" l="1"/>
  <c r="D13" i="42" s="1" a="1"/>
  <c r="D13" i="42" s="1"/>
  <c r="O14" i="42"/>
  <c r="D14" i="42" s="1" a="1"/>
  <c r="D14" i="42" s="1"/>
  <c r="O15" i="42"/>
  <c r="D15" i="42" s="1" a="1"/>
  <c r="D15" i="42" s="1"/>
  <c r="O16" i="42"/>
  <c r="O114" i="42" l="1"/>
  <c r="O113" i="42"/>
  <c r="O112" i="42"/>
  <c r="O111" i="42"/>
  <c r="O110" i="42"/>
  <c r="O109" i="42"/>
  <c r="O108" i="42"/>
  <c r="O107" i="42"/>
  <c r="O106" i="42"/>
  <c r="O105" i="42"/>
  <c r="O104" i="42"/>
  <c r="O103" i="42"/>
  <c r="O102" i="42"/>
  <c r="O101" i="42"/>
  <c r="O100" i="42"/>
  <c r="O99" i="42"/>
  <c r="O98" i="42"/>
  <c r="O97" i="42"/>
  <c r="O96" i="42"/>
  <c r="O95" i="42"/>
  <c r="O94" i="42"/>
  <c r="O93" i="42"/>
  <c r="O92" i="42"/>
  <c r="O91" i="42"/>
  <c r="O90" i="42"/>
  <c r="O89" i="42"/>
  <c r="O88" i="42"/>
  <c r="O87" i="42"/>
  <c r="O86" i="42"/>
  <c r="O85" i="42"/>
  <c r="O84" i="42"/>
  <c r="O83" i="42"/>
  <c r="O82" i="42"/>
  <c r="O81" i="42"/>
  <c r="O80" i="42"/>
  <c r="O79" i="42"/>
  <c r="O78" i="42"/>
  <c r="O77" i="42"/>
  <c r="O76" i="42"/>
  <c r="O75" i="42"/>
  <c r="O74" i="42"/>
  <c r="O73" i="42"/>
  <c r="O72" i="42"/>
  <c r="O71" i="42"/>
  <c r="O70" i="42"/>
  <c r="O69" i="42"/>
  <c r="O68" i="42"/>
  <c r="O67" i="42"/>
  <c r="O66" i="42"/>
  <c r="O65" i="42"/>
  <c r="O64" i="42"/>
  <c r="O63" i="42"/>
  <c r="O62" i="42"/>
  <c r="O61" i="42"/>
  <c r="O60" i="42"/>
  <c r="O59" i="42"/>
  <c r="O58" i="42"/>
  <c r="O57" i="42"/>
  <c r="O56" i="42"/>
  <c r="O55" i="42"/>
  <c r="O54" i="42"/>
  <c r="O53" i="42"/>
  <c r="O52" i="42"/>
  <c r="O51" i="42"/>
  <c r="O44" i="42"/>
  <c r="O45" i="42"/>
  <c r="O46" i="42"/>
  <c r="O47" i="42"/>
  <c r="O48" i="42"/>
  <c r="O49" i="42"/>
  <c r="O50" i="42"/>
  <c r="O22" i="42"/>
  <c r="O23" i="42"/>
  <c r="O24" i="42"/>
  <c r="O25" i="42"/>
  <c r="O26" i="42"/>
  <c r="O27" i="42"/>
  <c r="O28" i="42"/>
  <c r="O29" i="42"/>
  <c r="O30" i="42"/>
  <c r="O31" i="42"/>
  <c r="O32" i="42"/>
  <c r="O33" i="42"/>
  <c r="O34" i="42"/>
  <c r="O35" i="42"/>
  <c r="O36" i="42"/>
  <c r="O37" i="42"/>
  <c r="O38" i="42"/>
  <c r="O39" i="42"/>
  <c r="O40" i="42"/>
  <c r="O41" i="42"/>
  <c r="O42" i="42"/>
  <c r="O43" i="42"/>
  <c r="O21" i="42"/>
  <c r="D21" i="42" s="1" a="1"/>
  <c r="D21" i="4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<sst xmlns="http://schemas.openxmlformats.org/spreadsheetml/2006/main" count="52" uniqueCount="40">
  <si>
    <t>LISTA DE PEÇAS DE PROJETO</t>
  </si>
  <si>
    <t>A</t>
  </si>
  <si>
    <t>REVISÃO</t>
  </si>
  <si>
    <t>0</t>
  </si>
  <si>
    <t>LISTA DE PEÇAS ESCRITAS</t>
  </si>
  <si>
    <t>Nº.</t>
  </si>
  <si>
    <t>DESIGNAÇÃO</t>
  </si>
  <si>
    <t>I</t>
  </si>
  <si>
    <t>FICHEIRO</t>
  </si>
  <si>
    <t>00</t>
  </si>
  <si>
    <t>II</t>
  </si>
  <si>
    <t>III</t>
  </si>
  <si>
    <t>IV</t>
  </si>
  <si>
    <t>LISTA DE PEÇAS DESENHADAS</t>
  </si>
  <si>
    <t>B</t>
  </si>
  <si>
    <t>EMISSÃO</t>
  </si>
  <si>
    <t>ENTREGA</t>
  </si>
  <si>
    <t>MEMÓRIA DESCRITIVA E JUSTIFICATIVA</t>
  </si>
  <si>
    <t>CADERNO DE ENCARGOS</t>
  </si>
  <si>
    <t>MAPA DE QUANTIDADES (MQT)</t>
  </si>
  <si>
    <t>MEDIÇÕES DETALHADAS ARMADURAS</t>
  </si>
  <si>
    <t>Rev</t>
  </si>
  <si>
    <t>01</t>
  </si>
  <si>
    <t>EST</t>
  </si>
  <si>
    <t>-</t>
  </si>
  <si>
    <t>02</t>
  </si>
  <si>
    <t>PB</t>
  </si>
  <si>
    <t>V</t>
  </si>
  <si>
    <t>RELATÓRIO DE VÚLNERABILIDADE SÍSMICA (RSV)</t>
  </si>
  <si>
    <t>VI</t>
  </si>
  <si>
    <t>NOTA TÉCNICA 1 - ESPECIFICAÇÕES FACHADA</t>
  </si>
  <si>
    <t>779-EST-NT1-PE-E00-0</t>
  </si>
  <si>
    <r>
      <t>PROJETO:</t>
    </r>
    <r>
      <rPr>
        <sz val="10"/>
        <rFont val="Arial"/>
        <family val="2"/>
      </rPr>
      <t xml:space="preserve"> </t>
    </r>
  </si>
  <si>
    <t>FUNDAÇÕES E ESTRUTURAS</t>
  </si>
  <si>
    <t>ESPECIALIDADE:</t>
  </si>
  <si>
    <t>FASE:</t>
  </si>
  <si>
    <t>XXX - PROJETO</t>
  </si>
  <si>
    <t>FASE</t>
  </si>
  <si>
    <t>DES 001</t>
  </si>
  <si>
    <t>TIPO - TITULO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</si>
</sst>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164" formatCode="_-* #,##0.00\ [$€-1]_-;\-* #,##0.00\ [$€-1]_-;_-* &quot;-&quot;??\ [$€-1]_-"/>
    <numFmt numFmtId="165" formatCode="#\ ###\ ##0.0"/>
    <numFmt numFmtId="166" formatCode="mm/dd/yy"/>
    <numFmt numFmtId="167" formatCode="0_);[Red]\(0\)"/>
    <numFmt numFmtId="168" formatCode="_-&quot;€&quot;\ * #,##0.00_-;\-&quot;€&quot;\ * #,##0.00_-;_-&quot;€&quot;\ * &quot;-&quot;??_-;_-@_-"/>
    <numFmt numFmtId="169" formatCode="#,##0.00&quot; Esc&quot;_);[Red]\(#,##0.00&quot; Esc&quot;\)"/>
    <numFmt numFmtId="170" formatCode="#,##0.00\ [$€];[Red]\-#,##0.00\ [$€]"/>
    <numFmt numFmtId="171" formatCode="[$-816]d\-mmm\-yyyy;@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GillSans"/>
    </font>
    <font>
      <sz val="10"/>
      <color indexed="8"/>
      <name val="MS Sans Serif"/>
      <family val="2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0"/>
      <name val="Helv"/>
      <charset val="204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4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entury Gothic"/>
      <family val="2"/>
    </font>
    <font>
      <b/>
      <sz val="9"/>
      <name val="Century Gothic"/>
      <family val="2"/>
    </font>
    <font>
      <sz val="10"/>
      <name val="Helv"/>
    </font>
    <font>
      <sz val="10"/>
      <name val="MS Sans Serif"/>
      <family val="2"/>
    </font>
    <font>
      <sz val="8"/>
      <name val="Arial"/>
      <family val="2"/>
    </font>
    <font>
      <sz val="9"/>
      <color rgb="FFFF000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FF0000"/>
      <name val="GillSans"/>
    </font>
    <font>
      <b/>
      <u/>
      <sz val="12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1816">
    <xf numFmtId="0" fontId="0" fillId="0" borderId="0"/>
    <xf numFmtId="0" fontId="24" fillId="0" borderId="0"/>
    <xf numFmtId="0" fontId="16" fillId="0" borderId="0"/>
    <xf numFmtId="0" fontId="25" fillId="0" borderId="1" applyNumberFormat="0" applyFill="0" applyAlignment="0" applyProtection="0"/>
    <xf numFmtId="0" fontId="26" fillId="0" borderId="2" applyNumberFormat="0" applyFill="0" applyAlignment="0" applyProtection="0"/>
    <xf numFmtId="0" fontId="27" fillId="0" borderId="3" applyNumberFormat="0" applyFill="0" applyAlignment="0" applyProtection="0"/>
    <xf numFmtId="0" fontId="27" fillId="0" borderId="0" applyNumberFormat="0" applyFill="0" applyBorder="0" applyAlignment="0" applyProtection="0"/>
    <xf numFmtId="0" fontId="23" fillId="0" borderId="4" applyNumberFormat="0" applyFill="0" applyAlignment="0" applyProtection="0"/>
    <xf numFmtId="0" fontId="22" fillId="2" borderId="0" applyNumberFormat="0" applyBorder="0" applyAlignment="0" applyProtection="0"/>
    <xf numFmtId="166" fontId="16" fillId="0" borderId="0" applyFont="0" applyFill="0" applyBorder="0" applyAlignment="0" applyProtection="0"/>
    <xf numFmtId="0" fontId="28" fillId="3" borderId="5" applyNumberFormat="0" applyAlignment="0" applyProtection="0"/>
    <xf numFmtId="0" fontId="16" fillId="0" borderId="0"/>
    <xf numFmtId="164" fontId="13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0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21" fillId="0" borderId="0"/>
    <xf numFmtId="0" fontId="16" fillId="0" borderId="0"/>
    <xf numFmtId="0" fontId="19" fillId="0" borderId="0"/>
    <xf numFmtId="0" fontId="16" fillId="0" borderId="0"/>
    <xf numFmtId="0" fontId="29" fillId="0" borderId="0"/>
    <xf numFmtId="0" fontId="21" fillId="0" borderId="0"/>
    <xf numFmtId="0" fontId="18" fillId="0" borderId="0"/>
    <xf numFmtId="0" fontId="16" fillId="4" borderId="6" applyNumberFormat="0" applyFont="0" applyAlignment="0" applyProtection="0"/>
    <xf numFmtId="0" fontId="16" fillId="0" borderId="0"/>
    <xf numFmtId="49" fontId="16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3" fillId="4" borderId="6" applyNumberFormat="0" applyFont="0" applyAlignment="0" applyProtection="0"/>
    <xf numFmtId="49" fontId="13" fillId="0" borderId="0" applyFont="0" applyFill="0" applyBorder="0" applyAlignment="0" applyProtection="0"/>
    <xf numFmtId="0" fontId="11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168" fontId="13" fillId="0" borderId="0" applyFont="0" applyFill="0" applyBorder="0" applyAlignment="0" applyProtection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9" fontId="21" fillId="0" borderId="0" applyFont="0" applyFill="0" applyBorder="0" applyAlignment="0" applyProtection="0"/>
    <xf numFmtId="0" fontId="31" fillId="0" borderId="0">
      <alignment horizontal="left" vertical="top" wrapText="1" indent="3"/>
    </xf>
    <xf numFmtId="0" fontId="32" fillId="0" borderId="0">
      <alignment vertical="top" wrapText="1"/>
    </xf>
    <xf numFmtId="170" fontId="33" fillId="0" borderId="0" applyFont="0" applyFill="0" applyBorder="0" applyAlignment="0" applyProtection="0"/>
    <xf numFmtId="0" fontId="9" fillId="0" borderId="0"/>
    <xf numFmtId="0" fontId="21" fillId="0" borderId="0"/>
    <xf numFmtId="0" fontId="9" fillId="0" borderId="0"/>
    <xf numFmtId="49" fontId="31" fillId="0" borderId="0">
      <alignment horizontal="center" vertical="top"/>
    </xf>
    <xf numFmtId="0" fontId="31" fillId="0" borderId="0">
      <alignment vertical="top" wrapText="1"/>
    </xf>
    <xf numFmtId="4" fontId="31" fillId="0" borderId="0">
      <alignment horizontal="right"/>
    </xf>
    <xf numFmtId="1" fontId="31" fillId="0" borderId="0">
      <alignment horizontal="right"/>
    </xf>
    <xf numFmtId="0" fontId="31" fillId="0" borderId="0">
      <alignment horizontal="center"/>
    </xf>
    <xf numFmtId="44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4" fillId="0" borderId="0"/>
    <xf numFmtId="49" fontId="32" fillId="0" borderId="0">
      <alignment horizontal="center" vertical="top"/>
    </xf>
    <xf numFmtId="0" fontId="31" fillId="0" borderId="0">
      <alignment horizontal="left" vertical="top" wrapText="1" indent="5"/>
    </xf>
    <xf numFmtId="0" fontId="3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1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9">
    <xf numFmtId="0" fontId="0" fillId="0" borderId="0" xfId="0"/>
    <xf numFmtId="0" fontId="15" fillId="0" borderId="0" xfId="28" applyFont="1"/>
    <xf numFmtId="0" fontId="17" fillId="0" borderId="0" xfId="28" applyFont="1"/>
    <xf numFmtId="2" fontId="17" fillId="0" borderId="0" xfId="28" applyNumberFormat="1" applyFont="1" applyAlignment="1">
      <alignment horizontal="right" vertical="top"/>
    </xf>
    <xf numFmtId="0" fontId="17" fillId="0" borderId="0" xfId="28" applyFont="1" applyAlignment="1">
      <alignment horizontal="center" vertical="top"/>
    </xf>
    <xf numFmtId="165" fontId="17" fillId="0" borderId="0" xfId="28" applyNumberFormat="1" applyFont="1" applyAlignment="1">
      <alignment horizontal="center"/>
    </xf>
    <xf numFmtId="0" fontId="15" fillId="0" borderId="0" xfId="28" applyFont="1" applyAlignment="1">
      <alignment vertical="center"/>
    </xf>
    <xf numFmtId="0" fontId="14" fillId="0" borderId="0" xfId="28" applyFont="1" applyAlignment="1">
      <alignment horizontal="left" vertical="center" wrapText="1"/>
    </xf>
    <xf numFmtId="0" fontId="36" fillId="0" borderId="0" xfId="23" applyFont="1" applyAlignment="1">
      <alignment horizontal="justify" vertical="justify" wrapText="1"/>
    </xf>
    <xf numFmtId="4" fontId="36" fillId="0" borderId="0" xfId="28" applyNumberFormat="1" applyFont="1" applyAlignment="1">
      <alignment horizontal="center" vertical="top"/>
    </xf>
    <xf numFmtId="0" fontId="39" fillId="0" borderId="0" xfId="28" applyFont="1"/>
    <xf numFmtId="0" fontId="36" fillId="0" borderId="0" xfId="28" applyFont="1" applyAlignment="1">
      <alignment horizontal="center" vertical="top"/>
    </xf>
    <xf numFmtId="2" fontId="36" fillId="0" borderId="0" xfId="28" applyNumberFormat="1" applyFont="1" applyAlignment="1">
      <alignment horizontal="right" vertical="top"/>
    </xf>
    <xf numFmtId="0" fontId="39" fillId="0" borderId="0" xfId="28" applyFont="1" applyAlignment="1">
      <alignment horizontal="center" vertical="top"/>
    </xf>
    <xf numFmtId="165" fontId="39" fillId="0" borderId="0" xfId="28" applyNumberFormat="1" applyFont="1" applyAlignment="1">
      <alignment horizontal="center"/>
    </xf>
    <xf numFmtId="2" fontId="39" fillId="0" borderId="0" xfId="28" applyNumberFormat="1" applyFont="1" applyAlignment="1">
      <alignment horizontal="right" vertical="top"/>
    </xf>
    <xf numFmtId="0" fontId="13" fillId="0" borderId="0" xfId="28" applyAlignment="1">
      <alignment vertical="center" wrapText="1"/>
    </xf>
    <xf numFmtId="0" fontId="13" fillId="0" borderId="0" xfId="28" applyAlignment="1">
      <alignment horizontal="center" vertical="center" wrapText="1"/>
    </xf>
    <xf numFmtId="2" fontId="13" fillId="0" borderId="0" xfId="28" applyNumberFormat="1" applyAlignment="1">
      <alignment horizontal="right" vertical="center" wrapText="1"/>
    </xf>
    <xf numFmtId="0" fontId="13" fillId="0" borderId="0" xfId="28" applyAlignment="1">
      <alignment horizontal="center" vertical="center"/>
    </xf>
    <xf numFmtId="165" fontId="13" fillId="0" borderId="0" xfId="28" applyNumberFormat="1" applyAlignment="1">
      <alignment horizontal="center" vertical="center"/>
    </xf>
    <xf numFmtId="2" fontId="13" fillId="0" borderId="0" xfId="28" applyNumberFormat="1" applyAlignment="1">
      <alignment horizontal="right" vertical="center"/>
    </xf>
    <xf numFmtId="2" fontId="37" fillId="0" borderId="0" xfId="28" applyNumberFormat="1" applyFont="1" applyAlignment="1">
      <alignment horizontal="right" vertical="center" wrapText="1"/>
    </xf>
    <xf numFmtId="0" fontId="13" fillId="0" borderId="0" xfId="28" applyAlignment="1">
      <alignment horizontal="left" vertical="center"/>
    </xf>
    <xf numFmtId="2" fontId="13" fillId="0" borderId="0" xfId="28" applyNumberFormat="1" applyAlignment="1">
      <alignment vertical="center" wrapText="1"/>
    </xf>
    <xf numFmtId="0" fontId="37" fillId="0" borderId="0" xfId="28" applyFont="1" applyAlignment="1">
      <alignment horizontal="center" vertical="top"/>
    </xf>
    <xf numFmtId="0" fontId="37" fillId="0" borderId="0" xfId="28" applyFont="1" applyAlignment="1">
      <alignment horizontal="justify" vertical="justify"/>
    </xf>
    <xf numFmtId="0" fontId="37" fillId="0" borderId="0" xfId="28" applyFont="1" applyAlignment="1">
      <alignment horizontal="center" vertical="justify"/>
    </xf>
    <xf numFmtId="49" fontId="14" fillId="0" borderId="0" xfId="0" applyNumberFormat="1" applyFont="1"/>
    <xf numFmtId="49" fontId="35" fillId="0" borderId="0" xfId="0" applyNumberFormat="1" applyFont="1" applyAlignment="1" applyProtection="1">
      <alignment horizontal="left" vertical="center" wrapText="1"/>
      <protection locked="0"/>
    </xf>
    <xf numFmtId="49" fontId="35" fillId="0" borderId="0" xfId="0" applyNumberFormat="1" applyFont="1" applyAlignment="1" applyProtection="1">
      <alignment horizontal="center" vertical="center" wrapText="1"/>
      <protection locked="0"/>
    </xf>
    <xf numFmtId="0" fontId="13" fillId="0" borderId="0" xfId="28" applyAlignment="1">
      <alignment vertical="top" wrapText="1"/>
    </xf>
    <xf numFmtId="0" fontId="38" fillId="0" borderId="19" xfId="23" applyFont="1" applyBorder="1" applyAlignment="1">
      <alignment horizontal="justify" vertical="justify" wrapText="1"/>
    </xf>
    <xf numFmtId="49" fontId="35" fillId="0" borderId="9" xfId="0" applyNumberFormat="1" applyFont="1" applyBorder="1" applyAlignment="1" applyProtection="1">
      <alignment horizontal="center" vertical="center"/>
      <protection locked="0"/>
    </xf>
    <xf numFmtId="49" fontId="35" fillId="0" borderId="9" xfId="0" applyNumberFormat="1" applyFont="1" applyBorder="1" applyAlignment="1" applyProtection="1">
      <alignment horizontal="center"/>
      <protection locked="0"/>
    </xf>
    <xf numFmtId="49" fontId="35" fillId="0" borderId="9" xfId="0" applyNumberFormat="1" applyFont="1" applyBorder="1" applyAlignment="1" applyProtection="1">
      <alignment horizontal="left" vertical="center" wrapText="1"/>
      <protection locked="0"/>
    </xf>
    <xf numFmtId="0" fontId="17" fillId="0" borderId="19" xfId="28" applyFont="1" applyBorder="1"/>
    <xf numFmtId="0" fontId="17" fillId="0" borderId="17" xfId="28" applyFont="1" applyBorder="1"/>
    <xf numFmtId="49" fontId="35" fillId="0" borderId="10" xfId="0" applyNumberFormat="1" applyFont="1" applyBorder="1" applyAlignment="1" applyProtection="1">
      <alignment horizontal="center" vertical="center" wrapText="1"/>
      <protection locked="0"/>
    </xf>
    <xf numFmtId="0" fontId="38" fillId="0" borderId="19" xfId="28" applyFont="1" applyBorder="1" applyAlignment="1">
      <alignment horizontal="center" vertical="top"/>
    </xf>
    <xf numFmtId="49" fontId="35" fillId="0" borderId="21" xfId="0" applyNumberFormat="1" applyFont="1" applyBorder="1" applyAlignment="1" applyProtection="1">
      <alignment horizontal="center" vertical="center"/>
      <protection locked="0"/>
    </xf>
    <xf numFmtId="0" fontId="37" fillId="5" borderId="15" xfId="28" applyFont="1" applyFill="1" applyBorder="1" applyAlignment="1">
      <alignment horizontal="left" vertical="top"/>
    </xf>
    <xf numFmtId="49" fontId="35" fillId="0" borderId="9" xfId="0" applyNumberFormat="1" applyFont="1" applyBorder="1" applyAlignment="1" applyProtection="1">
      <alignment horizontal="center" vertical="center" wrapText="1"/>
      <protection locked="0"/>
    </xf>
    <xf numFmtId="0" fontId="35" fillId="0" borderId="21" xfId="28" applyFont="1" applyBorder="1" applyAlignment="1">
      <alignment horizontal="left" vertical="center"/>
    </xf>
    <xf numFmtId="0" fontId="35" fillId="0" borderId="21" xfId="28" applyFont="1" applyBorder="1" applyAlignment="1">
      <alignment horizontal="left" vertical="center" wrapText="1"/>
    </xf>
    <xf numFmtId="49" fontId="13" fillId="0" borderId="38" xfId="28" applyNumberFormat="1" applyBorder="1" applyAlignment="1">
      <alignment horizontal="center" vertical="center" wrapText="1"/>
    </xf>
    <xf numFmtId="0" fontId="41" fillId="6" borderId="14" xfId="28" applyFont="1" applyFill="1" applyBorder="1" applyAlignment="1">
      <alignment horizontal="left" vertical="top"/>
    </xf>
    <xf numFmtId="49" fontId="41" fillId="6" borderId="15" xfId="0" applyNumberFormat="1" applyFont="1" applyFill="1" applyBorder="1" applyAlignment="1" applyProtection="1">
      <alignment horizontal="left" vertical="center"/>
      <protection locked="0"/>
    </xf>
    <xf numFmtId="49" fontId="41" fillId="6" borderId="27" xfId="0" applyNumberFormat="1" applyFont="1" applyFill="1" applyBorder="1" applyAlignment="1" applyProtection="1">
      <alignment horizontal="center" vertical="center"/>
      <protection locked="0"/>
    </xf>
    <xf numFmtId="49" fontId="14" fillId="6" borderId="15" xfId="0" applyNumberFormat="1" applyFont="1" applyFill="1" applyBorder="1"/>
    <xf numFmtId="49" fontId="14" fillId="6" borderId="16" xfId="0" applyNumberFormat="1" applyFont="1" applyFill="1" applyBorder="1"/>
    <xf numFmtId="0" fontId="35" fillId="0" borderId="39" xfId="28" applyFont="1" applyBorder="1" applyAlignment="1">
      <alignment horizontal="left" vertical="center"/>
    </xf>
    <xf numFmtId="0" fontId="35" fillId="0" borderId="40" xfId="28" applyFont="1" applyBorder="1" applyAlignment="1">
      <alignment horizontal="left" vertical="center"/>
    </xf>
    <xf numFmtId="0" fontId="35" fillId="0" borderId="41" xfId="28" applyFont="1" applyBorder="1" applyAlignment="1">
      <alignment horizontal="left" vertical="center" wrapText="1"/>
    </xf>
    <xf numFmtId="49" fontId="35" fillId="0" borderId="42" xfId="0" applyNumberFormat="1" applyFont="1" applyBorder="1" applyAlignment="1" applyProtection="1">
      <alignment horizontal="center" vertical="center"/>
      <protection locked="0"/>
    </xf>
    <xf numFmtId="49" fontId="35" fillId="0" borderId="42" xfId="0" applyNumberFormat="1" applyFont="1" applyBorder="1" applyAlignment="1" applyProtection="1">
      <alignment horizontal="left" vertical="center" wrapText="1"/>
      <protection locked="0"/>
    </xf>
    <xf numFmtId="49" fontId="35" fillId="0" borderId="43" xfId="0" applyNumberFormat="1" applyFont="1" applyBorder="1" applyAlignment="1" applyProtection="1">
      <alignment horizontal="center" vertical="center" wrapText="1"/>
      <protection locked="0"/>
    </xf>
    <xf numFmtId="0" fontId="15" fillId="0" borderId="0" xfId="28" applyFont="1" applyAlignment="1">
      <alignment horizontal="center" vertical="center"/>
    </xf>
    <xf numFmtId="0" fontId="15" fillId="0" borderId="0" xfId="28" applyFont="1" applyAlignment="1">
      <alignment horizontal="center"/>
    </xf>
    <xf numFmtId="49" fontId="14" fillId="0" borderId="0" xfId="0" applyNumberFormat="1" applyFont="1" applyAlignment="1">
      <alignment horizontal="center"/>
    </xf>
    <xf numFmtId="2" fontId="35" fillId="0" borderId="0" xfId="0" applyNumberFormat="1" applyFont="1" applyAlignment="1" applyProtection="1">
      <alignment horizontal="center" vertical="center" wrapText="1"/>
      <protection locked="0"/>
    </xf>
    <xf numFmtId="2" fontId="35" fillId="0" borderId="9" xfId="0" applyNumberFormat="1" applyFont="1" applyBorder="1" applyAlignment="1" applyProtection="1">
      <alignment horizontal="center" vertical="center"/>
      <protection locked="0"/>
    </xf>
    <xf numFmtId="2" fontId="35" fillId="0" borderId="9" xfId="0" applyNumberFormat="1" applyFont="1" applyBorder="1" applyAlignment="1" applyProtection="1">
      <alignment horizontal="center"/>
      <protection locked="0"/>
    </xf>
    <xf numFmtId="2" fontId="35" fillId="0" borderId="9" xfId="0" applyNumberFormat="1" applyFont="1" applyBorder="1" applyAlignment="1" applyProtection="1">
      <alignment horizontal="left" vertical="center" wrapText="1"/>
      <protection locked="0"/>
    </xf>
    <xf numFmtId="2" fontId="35" fillId="0" borderId="10" xfId="0" applyNumberFormat="1" applyFont="1" applyBorder="1" applyAlignment="1" applyProtection="1">
      <alignment horizontal="center" vertical="center" wrapText="1"/>
      <protection locked="0"/>
    </xf>
    <xf numFmtId="0" fontId="35" fillId="0" borderId="9" xfId="0" applyFont="1" applyBorder="1" applyAlignment="1" applyProtection="1">
      <alignment horizontal="center" vertical="center" wrapText="1"/>
      <protection locked="0"/>
    </xf>
    <xf numFmtId="0" fontId="35" fillId="0" borderId="42" xfId="0" applyFont="1" applyBorder="1" applyAlignment="1" applyProtection="1">
      <alignment horizontal="center" vertical="center" wrapText="1"/>
      <protection locked="0"/>
    </xf>
    <xf numFmtId="49" fontId="35" fillId="0" borderId="39" xfId="28" applyNumberFormat="1" applyFont="1" applyBorder="1" applyAlignment="1">
      <alignment horizontal="left" vertical="center"/>
    </xf>
    <xf numFmtId="0" fontId="35" fillId="0" borderId="28" xfId="28" applyFont="1" applyBorder="1" applyAlignment="1">
      <alignment horizontal="left" vertical="center"/>
    </xf>
    <xf numFmtId="0" fontId="37" fillId="5" borderId="14" xfId="28" applyFont="1" applyFill="1" applyBorder="1" applyAlignment="1">
      <alignment horizontal="left" vertical="top"/>
    </xf>
    <xf numFmtId="0" fontId="17" fillId="0" borderId="0" xfId="28" applyFont="1" applyAlignment="1">
      <alignment wrapText="1"/>
    </xf>
    <xf numFmtId="2" fontId="35" fillId="0" borderId="9" xfId="0" applyNumberFormat="1" applyFont="1" applyBorder="1" applyAlignment="1" applyProtection="1">
      <alignment horizontal="center" vertical="center" wrapText="1"/>
      <protection locked="0"/>
    </xf>
    <xf numFmtId="2" fontId="35" fillId="0" borderId="9" xfId="0" applyNumberFormat="1" applyFont="1" applyBorder="1" applyAlignment="1" applyProtection="1">
      <alignment horizontal="center" wrapText="1"/>
      <protection locked="0"/>
    </xf>
    <xf numFmtId="1" fontId="15" fillId="0" borderId="0" xfId="0" applyNumberFormat="1" applyFont="1" applyAlignment="1">
      <alignment horizontal="center"/>
    </xf>
    <xf numFmtId="1" fontId="35" fillId="0" borderId="21" xfId="0" applyNumberFormat="1" applyFont="1" applyBorder="1" applyAlignment="1" applyProtection="1">
      <alignment horizontal="center" vertical="center"/>
      <protection locked="0"/>
    </xf>
    <xf numFmtId="1" fontId="35" fillId="0" borderId="21" xfId="0" applyNumberFormat="1" applyFont="1" applyBorder="1" applyAlignment="1" applyProtection="1">
      <alignment horizontal="center" vertical="center" wrapText="1"/>
      <protection locked="0"/>
    </xf>
    <xf numFmtId="1" fontId="35" fillId="0" borderId="41" xfId="0" applyNumberFormat="1" applyFont="1" applyBorder="1" applyAlignment="1" applyProtection="1">
      <alignment horizontal="center" vertical="center"/>
      <protection locked="0"/>
    </xf>
    <xf numFmtId="49" fontId="37" fillId="6" borderId="45" xfId="28" applyNumberFormat="1" applyFont="1" applyFill="1" applyBorder="1" applyAlignment="1">
      <alignment horizontal="center"/>
    </xf>
    <xf numFmtId="49" fontId="37" fillId="6" borderId="44" xfId="28" applyNumberFormat="1" applyFont="1" applyFill="1" applyBorder="1" applyAlignment="1">
      <alignment horizontal="center"/>
    </xf>
    <xf numFmtId="0" fontId="37" fillId="6" borderId="25" xfId="28" quotePrefix="1" applyFont="1" applyFill="1" applyBorder="1" applyAlignment="1">
      <alignment horizontal="center"/>
    </xf>
    <xf numFmtId="0" fontId="37" fillId="6" borderId="25" xfId="28" applyFont="1" applyFill="1" applyBorder="1" applyAlignment="1">
      <alignment horizontal="center"/>
    </xf>
    <xf numFmtId="2" fontId="37" fillId="6" borderId="25" xfId="28" applyNumberFormat="1" applyFont="1" applyFill="1" applyBorder="1" applyAlignment="1">
      <alignment horizontal="right"/>
    </xf>
    <xf numFmtId="2" fontId="37" fillId="6" borderId="26" xfId="28" applyNumberFormat="1" applyFont="1" applyFill="1" applyBorder="1" applyAlignment="1">
      <alignment horizontal="right"/>
    </xf>
    <xf numFmtId="49" fontId="17" fillId="0" borderId="0" xfId="28" applyNumberFormat="1" applyFont="1"/>
    <xf numFmtId="0" fontId="13" fillId="0" borderId="0" xfId="28" applyAlignment="1">
      <alignment horizontal="right" vertical="center" wrapText="1"/>
    </xf>
    <xf numFmtId="0" fontId="37" fillId="0" borderId="0" xfId="28" applyFont="1" applyAlignment="1">
      <alignment horizontal="left" vertical="center"/>
    </xf>
    <xf numFmtId="0" fontId="41" fillId="7" borderId="39" xfId="28" applyFont="1" applyFill="1" applyBorder="1" applyAlignment="1">
      <alignment vertical="center"/>
    </xf>
    <xf numFmtId="0" fontId="41" fillId="7" borderId="11" xfId="28" applyFont="1" applyFill="1" applyBorder="1" applyAlignment="1">
      <alignment vertical="center"/>
    </xf>
    <xf numFmtId="0" fontId="37" fillId="7" borderId="12" xfId="28" applyFont="1" applyFill="1" applyBorder="1" applyAlignment="1">
      <alignment horizontal="center" vertical="center"/>
    </xf>
    <xf numFmtId="1" fontId="37" fillId="7" borderId="12" xfId="28" applyNumberFormat="1" applyFont="1" applyFill="1" applyBorder="1" applyAlignment="1">
      <alignment vertical="center"/>
    </xf>
    <xf numFmtId="0" fontId="37" fillId="7" borderId="12" xfId="28" applyFont="1" applyFill="1" applyBorder="1" applyAlignment="1">
      <alignment vertical="center"/>
    </xf>
    <xf numFmtId="0" fontId="37" fillId="7" borderId="13" xfId="28" applyFont="1" applyFill="1" applyBorder="1" applyAlignment="1">
      <alignment vertical="center"/>
    </xf>
    <xf numFmtId="171" fontId="35" fillId="0" borderId="35" xfId="28" applyNumberFormat="1" applyFont="1" applyBorder="1" applyAlignment="1">
      <alignment horizontal="center" vertical="center" textRotation="90"/>
    </xf>
    <xf numFmtId="171" fontId="35" fillId="0" borderId="36" xfId="28" applyNumberFormat="1" applyFont="1" applyBorder="1" applyAlignment="1">
      <alignment horizontal="center" vertical="center" textRotation="90"/>
    </xf>
    <xf numFmtId="171" fontId="35" fillId="0" borderId="31" xfId="28" applyNumberFormat="1" applyFont="1" applyBorder="1" applyAlignment="1">
      <alignment horizontal="center" vertical="center" textRotation="90"/>
    </xf>
    <xf numFmtId="0" fontId="37" fillId="5" borderId="27" xfId="23" applyFont="1" applyFill="1" applyBorder="1" applyAlignment="1">
      <alignment horizontal="left" vertical="justify" wrapText="1"/>
    </xf>
    <xf numFmtId="0" fontId="37" fillId="5" borderId="24" xfId="23" applyFont="1" applyFill="1" applyBorder="1" applyAlignment="1">
      <alignment horizontal="left" vertical="justify" wrapText="1"/>
    </xf>
    <xf numFmtId="0" fontId="37" fillId="5" borderId="27" xfId="23" applyFont="1" applyFill="1" applyBorder="1" applyAlignment="1">
      <alignment horizontal="center" vertical="justify" wrapText="1"/>
    </xf>
    <xf numFmtId="0" fontId="37" fillId="5" borderId="22" xfId="23" applyFont="1" applyFill="1" applyBorder="1" applyAlignment="1">
      <alignment horizontal="center" vertical="justify" wrapText="1"/>
    </xf>
    <xf numFmtId="0" fontId="37" fillId="5" borderId="23" xfId="23" applyFont="1" applyFill="1" applyBorder="1" applyAlignment="1">
      <alignment horizontal="center" vertical="justify" wrapText="1"/>
    </xf>
    <xf numFmtId="0" fontId="37" fillId="5" borderId="14" xfId="28" applyFont="1" applyFill="1" applyBorder="1" applyAlignment="1">
      <alignment horizontal="center" wrapText="1"/>
    </xf>
    <xf numFmtId="0" fontId="37" fillId="5" borderId="15" xfId="28" applyFont="1" applyFill="1" applyBorder="1" applyAlignment="1">
      <alignment horizontal="center" wrapText="1"/>
    </xf>
    <xf numFmtId="0" fontId="37" fillId="5" borderId="16" xfId="28" applyFont="1" applyFill="1" applyBorder="1" applyAlignment="1">
      <alignment horizontal="center" wrapText="1"/>
    </xf>
    <xf numFmtId="0" fontId="40" fillId="0" borderId="0" xfId="28" applyFont="1" applyAlignment="1">
      <alignment horizontal="left" vertical="top"/>
    </xf>
    <xf numFmtId="0" fontId="37" fillId="5" borderId="15" xfId="23" applyFont="1" applyFill="1" applyBorder="1" applyAlignment="1">
      <alignment horizontal="center" vertical="justify" wrapText="1"/>
    </xf>
    <xf numFmtId="0" fontId="37" fillId="5" borderId="16" xfId="23" applyFont="1" applyFill="1" applyBorder="1" applyAlignment="1">
      <alignment horizontal="center" vertical="justify" wrapText="1"/>
    </xf>
    <xf numFmtId="171" fontId="35" fillId="0" borderId="7" xfId="28" applyNumberFormat="1" applyFont="1" applyBorder="1" applyAlignment="1">
      <alignment horizontal="center" vertical="center" textRotation="90"/>
    </xf>
    <xf numFmtId="171" fontId="35" fillId="0" borderId="29" xfId="28" applyNumberFormat="1" applyFont="1" applyBorder="1" applyAlignment="1">
      <alignment horizontal="center" vertical="center" textRotation="90"/>
    </xf>
    <xf numFmtId="171" fontId="35" fillId="0" borderId="30" xfId="28" applyNumberFormat="1" applyFont="1" applyBorder="1" applyAlignment="1">
      <alignment horizontal="center" vertical="center" textRotation="90"/>
    </xf>
    <xf numFmtId="171" fontId="35" fillId="0" borderId="37" xfId="28" applyNumberFormat="1" applyFont="1" applyBorder="1" applyAlignment="1">
      <alignment horizontal="center" vertical="center" textRotation="90"/>
    </xf>
    <xf numFmtId="171" fontId="35" fillId="0" borderId="0" xfId="28" applyNumberFormat="1" applyFont="1" applyAlignment="1">
      <alignment horizontal="center" vertical="center" textRotation="90"/>
    </xf>
    <xf numFmtId="171" fontId="35" fillId="0" borderId="19" xfId="28" applyNumberFormat="1" applyFont="1" applyBorder="1" applyAlignment="1">
      <alignment horizontal="center" vertical="center" textRotation="90"/>
    </xf>
    <xf numFmtId="171" fontId="35" fillId="0" borderId="8" xfId="28" applyNumberFormat="1" applyFont="1" applyBorder="1" applyAlignment="1">
      <alignment horizontal="center" vertical="center" textRotation="90"/>
    </xf>
    <xf numFmtId="171" fontId="35" fillId="0" borderId="32" xfId="28" applyNumberFormat="1" applyFont="1" applyBorder="1" applyAlignment="1">
      <alignment horizontal="center" vertical="center" textRotation="90"/>
    </xf>
    <xf numFmtId="171" fontId="35" fillId="0" borderId="34" xfId="28" applyNumberFormat="1" applyFont="1" applyBorder="1" applyAlignment="1">
      <alignment horizontal="center" vertical="center" textRotation="90"/>
    </xf>
    <xf numFmtId="0" fontId="37" fillId="5" borderId="15" xfId="23" applyFont="1" applyFill="1" applyBorder="1" applyAlignment="1">
      <alignment horizontal="left" vertical="justify" wrapText="1"/>
    </xf>
    <xf numFmtId="171" fontId="35" fillId="0" borderId="33" xfId="28" applyNumberFormat="1" applyFont="1" applyBorder="1" applyAlignment="1">
      <alignment horizontal="center" vertical="center" textRotation="90"/>
    </xf>
    <xf numFmtId="171" fontId="35" fillId="0" borderId="20" xfId="28" applyNumberFormat="1" applyFont="1" applyBorder="1" applyAlignment="1">
      <alignment horizontal="center" vertical="center" textRotation="90"/>
    </xf>
    <xf numFmtId="171" fontId="35" fillId="0" borderId="18" xfId="28" applyNumberFormat="1" applyFont="1" applyBorder="1" applyAlignment="1">
      <alignment horizontal="center" vertical="center" textRotation="90"/>
    </xf>
  </cellXfs>
  <cellStyles count="1816">
    <cellStyle name="_09.03.2009_Articulado tipo" xfId="1" xr:uid="{00000000-0005-0000-0000-000000000000}"/>
    <cellStyle name="_Medicoes Estruturas-Edificio SPAZIO_JF" xfId="2" xr:uid="{00000000-0005-0000-0000-000001000000}"/>
    <cellStyle name="_Medicoes Estruturas-Edificio SPAZIO_JF 2" xfId="30" xr:uid="{00000000-0005-0000-0000-000002000000}"/>
    <cellStyle name="BOLD-Artigo" xfId="123" xr:uid="{00000000-0005-0000-0000-000003000000}"/>
    <cellStyle name="BOLD-Designação" xfId="90" xr:uid="{00000000-0005-0000-0000-000004000000}"/>
    <cellStyle name="Cabeçalho 1" xfId="3" xr:uid="{00000000-0005-0000-0000-000005000000}"/>
    <cellStyle name="Cabeçalho 2" xfId="4" xr:uid="{00000000-0005-0000-0000-000006000000}"/>
    <cellStyle name="Cabeçalho 3" xfId="5" xr:uid="{00000000-0005-0000-0000-000007000000}"/>
    <cellStyle name="Cabeçalho 4" xfId="6" xr:uid="{00000000-0005-0000-0000-000008000000}"/>
    <cellStyle name="Célula Ligada" xfId="7" xr:uid="{00000000-0005-0000-0000-000009000000}"/>
    <cellStyle name="Correcto" xfId="8" xr:uid="{00000000-0005-0000-0000-00000A000000}"/>
    <cellStyle name="Date" xfId="9" xr:uid="{00000000-0005-0000-0000-00000B000000}"/>
    <cellStyle name="Date 2" xfId="31" xr:uid="{00000000-0005-0000-0000-00000C000000}"/>
    <cellStyle name="Entrada" xfId="10" xr:uid="{00000000-0005-0000-0000-00000D000000}"/>
    <cellStyle name="Estilo 1" xfId="11" xr:uid="{00000000-0005-0000-0000-00000E000000}"/>
    <cellStyle name="Estilo 1 2" xfId="32" xr:uid="{00000000-0005-0000-0000-00000F000000}"/>
    <cellStyle name="Estilo 1_09.11.20_Articulado tipo Edifícios" xfId="78" xr:uid="{00000000-0005-0000-0000-000010000000}"/>
    <cellStyle name="Euro" xfId="12" xr:uid="{00000000-0005-0000-0000-000011000000}"/>
    <cellStyle name="Euro 2" xfId="13" xr:uid="{00000000-0005-0000-0000-000012000000}"/>
    <cellStyle name="Euro 2 2" xfId="14" xr:uid="{00000000-0005-0000-0000-000013000000}"/>
    <cellStyle name="Euro 2 2 2" xfId="34" xr:uid="{00000000-0005-0000-0000-000014000000}"/>
    <cellStyle name="Euro 2 3" xfId="33" xr:uid="{00000000-0005-0000-0000-000015000000}"/>
    <cellStyle name="Euro 3" xfId="15" xr:uid="{00000000-0005-0000-0000-000016000000}"/>
    <cellStyle name="Euro 3 2" xfId="35" xr:uid="{00000000-0005-0000-0000-000017000000}"/>
    <cellStyle name="Euro 4" xfId="91" xr:uid="{00000000-0005-0000-0000-000018000000}"/>
    <cellStyle name="Fixed" xfId="16" xr:uid="{00000000-0005-0000-0000-000019000000}"/>
    <cellStyle name="Fixed 2" xfId="36" xr:uid="{00000000-0005-0000-0000-00001A000000}"/>
    <cellStyle name="Item2-Normal-Designação" xfId="124" xr:uid="{00000000-0005-0000-0000-00001B000000}"/>
    <cellStyle name="Item-Normal-Designação" xfId="89" xr:uid="{00000000-0005-0000-0000-00001C000000}"/>
    <cellStyle name="Moeda 2" xfId="88" xr:uid="{00000000-0005-0000-0000-00001D000000}"/>
    <cellStyle name="Moeda 2 2" xfId="80" xr:uid="{00000000-0005-0000-0000-00001E000000}"/>
    <cellStyle name="Moeda 3" xfId="100" xr:uid="{00000000-0005-0000-0000-00001F000000}"/>
    <cellStyle name="Moeda 3 2" xfId="983" xr:uid="{00000000-0005-0000-0000-000020000000}"/>
    <cellStyle name="Neutral 12 2" xfId="81" xr:uid="{00000000-0005-0000-0000-000021000000}"/>
    <cellStyle name="Normal" xfId="0" builtinId="0"/>
    <cellStyle name="Normal 124" xfId="82" xr:uid="{00000000-0005-0000-0000-000023000000}"/>
    <cellStyle name="Normal 13" xfId="17" xr:uid="{00000000-0005-0000-0000-000024000000}"/>
    <cellStyle name="Normal 2" xfId="18" xr:uid="{00000000-0005-0000-0000-000025000000}"/>
    <cellStyle name="Normal 2 2" xfId="28" xr:uid="{00000000-0005-0000-0000-000026000000}"/>
    <cellStyle name="Normal 2 3" xfId="125" xr:uid="{00000000-0005-0000-0000-000027000000}"/>
    <cellStyle name="Normal 2 3 2" xfId="200" xr:uid="{00000000-0005-0000-0000-000028000000}"/>
    <cellStyle name="Normal 3" xfId="19" xr:uid="{00000000-0005-0000-0000-000029000000}"/>
    <cellStyle name="Normal 3 2" xfId="20" xr:uid="{00000000-0005-0000-0000-00002A000000}"/>
    <cellStyle name="Normal 3 2 2" xfId="38" xr:uid="{00000000-0005-0000-0000-00002B000000}"/>
    <cellStyle name="Normal 3 3" xfId="37" xr:uid="{00000000-0005-0000-0000-00002C000000}"/>
    <cellStyle name="Normal 4" xfId="21" xr:uid="{00000000-0005-0000-0000-00002D000000}"/>
    <cellStyle name="Normal 4 10" xfId="57" xr:uid="{00000000-0005-0000-0000-00002E000000}"/>
    <cellStyle name="Normal 4 10 2" xfId="151" xr:uid="{00000000-0005-0000-0000-00002F000000}"/>
    <cellStyle name="Normal 4 10 2 2" xfId="372" xr:uid="{00000000-0005-0000-0000-000030000000}"/>
    <cellStyle name="Normal 4 10 2 2 2" xfId="1249" xr:uid="{00000000-0005-0000-0000-000031000000}"/>
    <cellStyle name="Normal 4 10 2 3" xfId="591" xr:uid="{00000000-0005-0000-0000-000032000000}"/>
    <cellStyle name="Normal 4 10 2 3 2" xfId="1468" xr:uid="{00000000-0005-0000-0000-000033000000}"/>
    <cellStyle name="Normal 4 10 2 4" xfId="810" xr:uid="{00000000-0005-0000-0000-000034000000}"/>
    <cellStyle name="Normal 4 10 2 4 2" xfId="1687" xr:uid="{00000000-0005-0000-0000-000035000000}"/>
    <cellStyle name="Normal 4 10 2 5" xfId="1030" xr:uid="{00000000-0005-0000-0000-000036000000}"/>
    <cellStyle name="Normal 4 10 3" xfId="226" xr:uid="{00000000-0005-0000-0000-000037000000}"/>
    <cellStyle name="Normal 4 10 3 2" xfId="445" xr:uid="{00000000-0005-0000-0000-000038000000}"/>
    <cellStyle name="Normal 4 10 3 2 2" xfId="1322" xr:uid="{00000000-0005-0000-0000-000039000000}"/>
    <cellStyle name="Normal 4 10 3 3" xfId="664" xr:uid="{00000000-0005-0000-0000-00003A000000}"/>
    <cellStyle name="Normal 4 10 3 3 2" xfId="1541" xr:uid="{00000000-0005-0000-0000-00003B000000}"/>
    <cellStyle name="Normal 4 10 3 4" xfId="883" xr:uid="{00000000-0005-0000-0000-00003C000000}"/>
    <cellStyle name="Normal 4 10 3 4 2" xfId="1760" xr:uid="{00000000-0005-0000-0000-00003D000000}"/>
    <cellStyle name="Normal 4 10 3 5" xfId="1103" xr:uid="{00000000-0005-0000-0000-00003E000000}"/>
    <cellStyle name="Normal 4 10 4" xfId="299" xr:uid="{00000000-0005-0000-0000-00003F000000}"/>
    <cellStyle name="Normal 4 10 4 2" xfId="1176" xr:uid="{00000000-0005-0000-0000-000040000000}"/>
    <cellStyle name="Normal 4 10 5" xfId="518" xr:uid="{00000000-0005-0000-0000-000041000000}"/>
    <cellStyle name="Normal 4 10 5 2" xfId="1395" xr:uid="{00000000-0005-0000-0000-000042000000}"/>
    <cellStyle name="Normal 4 10 6" xfId="737" xr:uid="{00000000-0005-0000-0000-000043000000}"/>
    <cellStyle name="Normal 4 10 6 2" xfId="1614" xr:uid="{00000000-0005-0000-0000-000044000000}"/>
    <cellStyle name="Normal 4 10 7" xfId="956" xr:uid="{00000000-0005-0000-0000-000045000000}"/>
    <cellStyle name="Normal 4 11" xfId="116" xr:uid="{00000000-0005-0000-0000-000046000000}"/>
    <cellStyle name="Normal 4 11 2" xfId="193" xr:uid="{00000000-0005-0000-0000-000047000000}"/>
    <cellStyle name="Normal 4 11 2 2" xfId="414" xr:uid="{00000000-0005-0000-0000-000048000000}"/>
    <cellStyle name="Normal 4 11 2 2 2" xfId="1291" xr:uid="{00000000-0005-0000-0000-000049000000}"/>
    <cellStyle name="Normal 4 11 2 3" xfId="633" xr:uid="{00000000-0005-0000-0000-00004A000000}"/>
    <cellStyle name="Normal 4 11 2 3 2" xfId="1510" xr:uid="{00000000-0005-0000-0000-00004B000000}"/>
    <cellStyle name="Normal 4 11 2 4" xfId="852" xr:uid="{00000000-0005-0000-0000-00004C000000}"/>
    <cellStyle name="Normal 4 11 2 4 2" xfId="1729" xr:uid="{00000000-0005-0000-0000-00004D000000}"/>
    <cellStyle name="Normal 4 11 2 5" xfId="1072" xr:uid="{00000000-0005-0000-0000-00004E000000}"/>
    <cellStyle name="Normal 4 11 3" xfId="268" xr:uid="{00000000-0005-0000-0000-00004F000000}"/>
    <cellStyle name="Normal 4 11 3 2" xfId="487" xr:uid="{00000000-0005-0000-0000-000050000000}"/>
    <cellStyle name="Normal 4 11 3 2 2" xfId="1364" xr:uid="{00000000-0005-0000-0000-000051000000}"/>
    <cellStyle name="Normal 4 11 3 3" xfId="706" xr:uid="{00000000-0005-0000-0000-000052000000}"/>
    <cellStyle name="Normal 4 11 3 3 2" xfId="1583" xr:uid="{00000000-0005-0000-0000-000053000000}"/>
    <cellStyle name="Normal 4 11 3 4" xfId="925" xr:uid="{00000000-0005-0000-0000-000054000000}"/>
    <cellStyle name="Normal 4 11 3 4 2" xfId="1802" xr:uid="{00000000-0005-0000-0000-000055000000}"/>
    <cellStyle name="Normal 4 11 3 5" xfId="1145" xr:uid="{00000000-0005-0000-0000-000056000000}"/>
    <cellStyle name="Normal 4 11 4" xfId="341" xr:uid="{00000000-0005-0000-0000-000057000000}"/>
    <cellStyle name="Normal 4 11 4 2" xfId="1218" xr:uid="{00000000-0005-0000-0000-000058000000}"/>
    <cellStyle name="Normal 4 11 5" xfId="560" xr:uid="{00000000-0005-0000-0000-000059000000}"/>
    <cellStyle name="Normal 4 11 5 2" xfId="1437" xr:uid="{00000000-0005-0000-0000-00005A000000}"/>
    <cellStyle name="Normal 4 11 6" xfId="779" xr:uid="{00000000-0005-0000-0000-00005B000000}"/>
    <cellStyle name="Normal 4 11 6 2" xfId="1656" xr:uid="{00000000-0005-0000-0000-00005C000000}"/>
    <cellStyle name="Normal 4 11 7" xfId="999" xr:uid="{00000000-0005-0000-0000-00005D000000}"/>
    <cellStyle name="Normal 4 12" xfId="44" xr:uid="{00000000-0005-0000-0000-00005E000000}"/>
    <cellStyle name="Normal 4 12 2" xfId="138" xr:uid="{00000000-0005-0000-0000-00005F000000}"/>
    <cellStyle name="Normal 4 12 2 2" xfId="359" xr:uid="{00000000-0005-0000-0000-000060000000}"/>
    <cellStyle name="Normal 4 12 2 2 2" xfId="1236" xr:uid="{00000000-0005-0000-0000-000061000000}"/>
    <cellStyle name="Normal 4 12 2 3" xfId="578" xr:uid="{00000000-0005-0000-0000-000062000000}"/>
    <cellStyle name="Normal 4 12 2 3 2" xfId="1455" xr:uid="{00000000-0005-0000-0000-000063000000}"/>
    <cellStyle name="Normal 4 12 2 4" xfId="797" xr:uid="{00000000-0005-0000-0000-000064000000}"/>
    <cellStyle name="Normal 4 12 2 4 2" xfId="1674" xr:uid="{00000000-0005-0000-0000-000065000000}"/>
    <cellStyle name="Normal 4 12 2 5" xfId="1017" xr:uid="{00000000-0005-0000-0000-000066000000}"/>
    <cellStyle name="Normal 4 12 3" xfId="213" xr:uid="{00000000-0005-0000-0000-000067000000}"/>
    <cellStyle name="Normal 4 12 3 2" xfId="432" xr:uid="{00000000-0005-0000-0000-000068000000}"/>
    <cellStyle name="Normal 4 12 3 2 2" xfId="1309" xr:uid="{00000000-0005-0000-0000-000069000000}"/>
    <cellStyle name="Normal 4 12 3 3" xfId="651" xr:uid="{00000000-0005-0000-0000-00006A000000}"/>
    <cellStyle name="Normal 4 12 3 3 2" xfId="1528" xr:uid="{00000000-0005-0000-0000-00006B000000}"/>
    <cellStyle name="Normal 4 12 3 4" xfId="870" xr:uid="{00000000-0005-0000-0000-00006C000000}"/>
    <cellStyle name="Normal 4 12 3 4 2" xfId="1747" xr:uid="{00000000-0005-0000-0000-00006D000000}"/>
    <cellStyle name="Normal 4 12 3 5" xfId="1090" xr:uid="{00000000-0005-0000-0000-00006E000000}"/>
    <cellStyle name="Normal 4 12 4" xfId="286" xr:uid="{00000000-0005-0000-0000-00006F000000}"/>
    <cellStyle name="Normal 4 12 4 2" xfId="1163" xr:uid="{00000000-0005-0000-0000-000070000000}"/>
    <cellStyle name="Normal 4 12 5" xfId="505" xr:uid="{00000000-0005-0000-0000-000071000000}"/>
    <cellStyle name="Normal 4 12 5 2" xfId="1382" xr:uid="{00000000-0005-0000-0000-000072000000}"/>
    <cellStyle name="Normal 4 12 6" xfId="724" xr:uid="{00000000-0005-0000-0000-000073000000}"/>
    <cellStyle name="Normal 4 12 6 2" xfId="1601" xr:uid="{00000000-0005-0000-0000-000074000000}"/>
    <cellStyle name="Normal 4 12 7" xfId="943" xr:uid="{00000000-0005-0000-0000-000075000000}"/>
    <cellStyle name="Normal 4 13" xfId="126" xr:uid="{00000000-0005-0000-0000-000076000000}"/>
    <cellStyle name="Normal 4 13 2" xfId="201" xr:uid="{00000000-0005-0000-0000-000077000000}"/>
    <cellStyle name="Normal 4 13 2 2" xfId="420" xr:uid="{00000000-0005-0000-0000-000078000000}"/>
    <cellStyle name="Normal 4 13 2 2 2" xfId="1297" xr:uid="{00000000-0005-0000-0000-000079000000}"/>
    <cellStyle name="Normal 4 13 2 3" xfId="639" xr:uid="{00000000-0005-0000-0000-00007A000000}"/>
    <cellStyle name="Normal 4 13 2 3 2" xfId="1516" xr:uid="{00000000-0005-0000-0000-00007B000000}"/>
    <cellStyle name="Normal 4 13 2 4" xfId="858" xr:uid="{00000000-0005-0000-0000-00007C000000}"/>
    <cellStyle name="Normal 4 13 2 4 2" xfId="1735" xr:uid="{00000000-0005-0000-0000-00007D000000}"/>
    <cellStyle name="Normal 4 13 2 5" xfId="1078" xr:uid="{00000000-0005-0000-0000-00007E000000}"/>
    <cellStyle name="Normal 4 13 3" xfId="274" xr:uid="{00000000-0005-0000-0000-00007F000000}"/>
    <cellStyle name="Normal 4 13 3 2" xfId="493" xr:uid="{00000000-0005-0000-0000-000080000000}"/>
    <cellStyle name="Normal 4 13 3 2 2" xfId="1370" xr:uid="{00000000-0005-0000-0000-000081000000}"/>
    <cellStyle name="Normal 4 13 3 3" xfId="712" xr:uid="{00000000-0005-0000-0000-000082000000}"/>
    <cellStyle name="Normal 4 13 3 3 2" xfId="1589" xr:uid="{00000000-0005-0000-0000-000083000000}"/>
    <cellStyle name="Normal 4 13 3 4" xfId="931" xr:uid="{00000000-0005-0000-0000-000084000000}"/>
    <cellStyle name="Normal 4 13 3 4 2" xfId="1808" xr:uid="{00000000-0005-0000-0000-000085000000}"/>
    <cellStyle name="Normal 4 13 3 5" xfId="1151" xr:uid="{00000000-0005-0000-0000-000086000000}"/>
    <cellStyle name="Normal 4 13 4" xfId="347" xr:uid="{00000000-0005-0000-0000-000087000000}"/>
    <cellStyle name="Normal 4 13 4 2" xfId="1224" xr:uid="{00000000-0005-0000-0000-000088000000}"/>
    <cellStyle name="Normal 4 13 5" xfId="566" xr:uid="{00000000-0005-0000-0000-000089000000}"/>
    <cellStyle name="Normal 4 13 5 2" xfId="1443" xr:uid="{00000000-0005-0000-0000-00008A000000}"/>
    <cellStyle name="Normal 4 13 6" xfId="785" xr:uid="{00000000-0005-0000-0000-00008B000000}"/>
    <cellStyle name="Normal 4 13 6 2" xfId="1662" xr:uid="{00000000-0005-0000-0000-00008C000000}"/>
    <cellStyle name="Normal 4 13 7" xfId="1005" xr:uid="{00000000-0005-0000-0000-00008D000000}"/>
    <cellStyle name="Normal 4 14" xfId="130" xr:uid="{00000000-0005-0000-0000-00008E000000}"/>
    <cellStyle name="Normal 4 14 2" xfId="205" xr:uid="{00000000-0005-0000-0000-00008F000000}"/>
    <cellStyle name="Normal 4 14 2 2" xfId="424" xr:uid="{00000000-0005-0000-0000-000090000000}"/>
    <cellStyle name="Normal 4 14 2 2 2" xfId="1301" xr:uid="{00000000-0005-0000-0000-000091000000}"/>
    <cellStyle name="Normal 4 14 2 3" xfId="643" xr:uid="{00000000-0005-0000-0000-000092000000}"/>
    <cellStyle name="Normal 4 14 2 3 2" xfId="1520" xr:uid="{00000000-0005-0000-0000-000093000000}"/>
    <cellStyle name="Normal 4 14 2 4" xfId="862" xr:uid="{00000000-0005-0000-0000-000094000000}"/>
    <cellStyle name="Normal 4 14 2 4 2" xfId="1739" xr:uid="{00000000-0005-0000-0000-000095000000}"/>
    <cellStyle name="Normal 4 14 2 5" xfId="1082" xr:uid="{00000000-0005-0000-0000-000096000000}"/>
    <cellStyle name="Normal 4 14 3" xfId="278" xr:uid="{00000000-0005-0000-0000-000097000000}"/>
    <cellStyle name="Normal 4 14 3 2" xfId="497" xr:uid="{00000000-0005-0000-0000-000098000000}"/>
    <cellStyle name="Normal 4 14 3 2 2" xfId="1374" xr:uid="{00000000-0005-0000-0000-000099000000}"/>
    <cellStyle name="Normal 4 14 3 3" xfId="716" xr:uid="{00000000-0005-0000-0000-00009A000000}"/>
    <cellStyle name="Normal 4 14 3 3 2" xfId="1593" xr:uid="{00000000-0005-0000-0000-00009B000000}"/>
    <cellStyle name="Normal 4 14 3 4" xfId="935" xr:uid="{00000000-0005-0000-0000-00009C000000}"/>
    <cellStyle name="Normal 4 14 3 4 2" xfId="1812" xr:uid="{00000000-0005-0000-0000-00009D000000}"/>
    <cellStyle name="Normal 4 14 3 5" xfId="1155" xr:uid="{00000000-0005-0000-0000-00009E000000}"/>
    <cellStyle name="Normal 4 14 4" xfId="351" xr:uid="{00000000-0005-0000-0000-00009F000000}"/>
    <cellStyle name="Normal 4 14 4 2" xfId="1228" xr:uid="{00000000-0005-0000-0000-0000A0000000}"/>
    <cellStyle name="Normal 4 14 5" xfId="570" xr:uid="{00000000-0005-0000-0000-0000A1000000}"/>
    <cellStyle name="Normal 4 14 5 2" xfId="1447" xr:uid="{00000000-0005-0000-0000-0000A2000000}"/>
    <cellStyle name="Normal 4 14 6" xfId="789" xr:uid="{00000000-0005-0000-0000-0000A3000000}"/>
    <cellStyle name="Normal 4 14 6 2" xfId="1666" xr:uid="{00000000-0005-0000-0000-0000A4000000}"/>
    <cellStyle name="Normal 4 14 7" xfId="1009" xr:uid="{00000000-0005-0000-0000-0000A5000000}"/>
    <cellStyle name="Normal 4 15" xfId="134" xr:uid="{00000000-0005-0000-0000-0000A6000000}"/>
    <cellStyle name="Normal 4 15 2" xfId="355" xr:uid="{00000000-0005-0000-0000-0000A7000000}"/>
    <cellStyle name="Normal 4 15 2 2" xfId="1232" xr:uid="{00000000-0005-0000-0000-0000A8000000}"/>
    <cellStyle name="Normal 4 15 3" xfId="574" xr:uid="{00000000-0005-0000-0000-0000A9000000}"/>
    <cellStyle name="Normal 4 15 3 2" xfId="1451" xr:uid="{00000000-0005-0000-0000-0000AA000000}"/>
    <cellStyle name="Normal 4 15 4" xfId="793" xr:uid="{00000000-0005-0000-0000-0000AB000000}"/>
    <cellStyle name="Normal 4 15 4 2" xfId="1670" xr:uid="{00000000-0005-0000-0000-0000AC000000}"/>
    <cellStyle name="Normal 4 15 5" xfId="1013" xr:uid="{00000000-0005-0000-0000-0000AD000000}"/>
    <cellStyle name="Normal 4 16" xfId="209" xr:uid="{00000000-0005-0000-0000-0000AE000000}"/>
    <cellStyle name="Normal 4 16 2" xfId="428" xr:uid="{00000000-0005-0000-0000-0000AF000000}"/>
    <cellStyle name="Normal 4 16 2 2" xfId="1305" xr:uid="{00000000-0005-0000-0000-0000B0000000}"/>
    <cellStyle name="Normal 4 16 3" xfId="647" xr:uid="{00000000-0005-0000-0000-0000B1000000}"/>
    <cellStyle name="Normal 4 16 3 2" xfId="1524" xr:uid="{00000000-0005-0000-0000-0000B2000000}"/>
    <cellStyle name="Normal 4 16 4" xfId="866" xr:uid="{00000000-0005-0000-0000-0000B3000000}"/>
    <cellStyle name="Normal 4 16 4 2" xfId="1743" xr:uid="{00000000-0005-0000-0000-0000B4000000}"/>
    <cellStyle name="Normal 4 16 5" xfId="1086" xr:uid="{00000000-0005-0000-0000-0000B5000000}"/>
    <cellStyle name="Normal 4 17" xfId="282" xr:uid="{00000000-0005-0000-0000-0000B6000000}"/>
    <cellStyle name="Normal 4 17 2" xfId="1159" xr:uid="{00000000-0005-0000-0000-0000B7000000}"/>
    <cellStyle name="Normal 4 18" xfId="501" xr:uid="{00000000-0005-0000-0000-0000B8000000}"/>
    <cellStyle name="Normal 4 18 2" xfId="1378" xr:uid="{00000000-0005-0000-0000-0000B9000000}"/>
    <cellStyle name="Normal 4 19" xfId="720" xr:uid="{00000000-0005-0000-0000-0000BA000000}"/>
    <cellStyle name="Normal 4 19 2" xfId="1597" xr:uid="{00000000-0005-0000-0000-0000BB000000}"/>
    <cellStyle name="Normal 4 2" xfId="39" xr:uid="{00000000-0005-0000-0000-0000BC000000}"/>
    <cellStyle name="Normal 4 2 10" xfId="127" xr:uid="{00000000-0005-0000-0000-0000BD000000}"/>
    <cellStyle name="Normal 4 2 10 2" xfId="202" xr:uid="{00000000-0005-0000-0000-0000BE000000}"/>
    <cellStyle name="Normal 4 2 10 2 2" xfId="421" xr:uid="{00000000-0005-0000-0000-0000BF000000}"/>
    <cellStyle name="Normal 4 2 10 2 2 2" xfId="1298" xr:uid="{00000000-0005-0000-0000-0000C0000000}"/>
    <cellStyle name="Normal 4 2 10 2 3" xfId="640" xr:uid="{00000000-0005-0000-0000-0000C1000000}"/>
    <cellStyle name="Normal 4 2 10 2 3 2" xfId="1517" xr:uid="{00000000-0005-0000-0000-0000C2000000}"/>
    <cellStyle name="Normal 4 2 10 2 4" xfId="859" xr:uid="{00000000-0005-0000-0000-0000C3000000}"/>
    <cellStyle name="Normal 4 2 10 2 4 2" xfId="1736" xr:uid="{00000000-0005-0000-0000-0000C4000000}"/>
    <cellStyle name="Normal 4 2 10 2 5" xfId="1079" xr:uid="{00000000-0005-0000-0000-0000C5000000}"/>
    <cellStyle name="Normal 4 2 10 3" xfId="275" xr:uid="{00000000-0005-0000-0000-0000C6000000}"/>
    <cellStyle name="Normal 4 2 10 3 2" xfId="494" xr:uid="{00000000-0005-0000-0000-0000C7000000}"/>
    <cellStyle name="Normal 4 2 10 3 2 2" xfId="1371" xr:uid="{00000000-0005-0000-0000-0000C8000000}"/>
    <cellStyle name="Normal 4 2 10 3 3" xfId="713" xr:uid="{00000000-0005-0000-0000-0000C9000000}"/>
    <cellStyle name="Normal 4 2 10 3 3 2" xfId="1590" xr:uid="{00000000-0005-0000-0000-0000CA000000}"/>
    <cellStyle name="Normal 4 2 10 3 4" xfId="932" xr:uid="{00000000-0005-0000-0000-0000CB000000}"/>
    <cellStyle name="Normal 4 2 10 3 4 2" xfId="1809" xr:uid="{00000000-0005-0000-0000-0000CC000000}"/>
    <cellStyle name="Normal 4 2 10 3 5" xfId="1152" xr:uid="{00000000-0005-0000-0000-0000CD000000}"/>
    <cellStyle name="Normal 4 2 10 4" xfId="348" xr:uid="{00000000-0005-0000-0000-0000CE000000}"/>
    <cellStyle name="Normal 4 2 10 4 2" xfId="1225" xr:uid="{00000000-0005-0000-0000-0000CF000000}"/>
    <cellStyle name="Normal 4 2 10 5" xfId="567" xr:uid="{00000000-0005-0000-0000-0000D0000000}"/>
    <cellStyle name="Normal 4 2 10 5 2" xfId="1444" xr:uid="{00000000-0005-0000-0000-0000D1000000}"/>
    <cellStyle name="Normal 4 2 10 6" xfId="786" xr:uid="{00000000-0005-0000-0000-0000D2000000}"/>
    <cellStyle name="Normal 4 2 10 6 2" xfId="1663" xr:uid="{00000000-0005-0000-0000-0000D3000000}"/>
    <cellStyle name="Normal 4 2 10 7" xfId="1006" xr:uid="{00000000-0005-0000-0000-0000D4000000}"/>
    <cellStyle name="Normal 4 2 11" xfId="131" xr:uid="{00000000-0005-0000-0000-0000D5000000}"/>
    <cellStyle name="Normal 4 2 11 2" xfId="206" xr:uid="{00000000-0005-0000-0000-0000D6000000}"/>
    <cellStyle name="Normal 4 2 11 2 2" xfId="425" xr:uid="{00000000-0005-0000-0000-0000D7000000}"/>
    <cellStyle name="Normal 4 2 11 2 2 2" xfId="1302" xr:uid="{00000000-0005-0000-0000-0000D8000000}"/>
    <cellStyle name="Normal 4 2 11 2 3" xfId="644" xr:uid="{00000000-0005-0000-0000-0000D9000000}"/>
    <cellStyle name="Normal 4 2 11 2 3 2" xfId="1521" xr:uid="{00000000-0005-0000-0000-0000DA000000}"/>
    <cellStyle name="Normal 4 2 11 2 4" xfId="863" xr:uid="{00000000-0005-0000-0000-0000DB000000}"/>
    <cellStyle name="Normal 4 2 11 2 4 2" xfId="1740" xr:uid="{00000000-0005-0000-0000-0000DC000000}"/>
    <cellStyle name="Normal 4 2 11 2 5" xfId="1083" xr:uid="{00000000-0005-0000-0000-0000DD000000}"/>
    <cellStyle name="Normal 4 2 11 3" xfId="279" xr:uid="{00000000-0005-0000-0000-0000DE000000}"/>
    <cellStyle name="Normal 4 2 11 3 2" xfId="498" xr:uid="{00000000-0005-0000-0000-0000DF000000}"/>
    <cellStyle name="Normal 4 2 11 3 2 2" xfId="1375" xr:uid="{00000000-0005-0000-0000-0000E0000000}"/>
    <cellStyle name="Normal 4 2 11 3 3" xfId="717" xr:uid="{00000000-0005-0000-0000-0000E1000000}"/>
    <cellStyle name="Normal 4 2 11 3 3 2" xfId="1594" xr:uid="{00000000-0005-0000-0000-0000E2000000}"/>
    <cellStyle name="Normal 4 2 11 3 4" xfId="936" xr:uid="{00000000-0005-0000-0000-0000E3000000}"/>
    <cellStyle name="Normal 4 2 11 3 4 2" xfId="1813" xr:uid="{00000000-0005-0000-0000-0000E4000000}"/>
    <cellStyle name="Normal 4 2 11 3 5" xfId="1156" xr:uid="{00000000-0005-0000-0000-0000E5000000}"/>
    <cellStyle name="Normal 4 2 11 4" xfId="352" xr:uid="{00000000-0005-0000-0000-0000E6000000}"/>
    <cellStyle name="Normal 4 2 11 4 2" xfId="1229" xr:uid="{00000000-0005-0000-0000-0000E7000000}"/>
    <cellStyle name="Normal 4 2 11 5" xfId="571" xr:uid="{00000000-0005-0000-0000-0000E8000000}"/>
    <cellStyle name="Normal 4 2 11 5 2" xfId="1448" xr:uid="{00000000-0005-0000-0000-0000E9000000}"/>
    <cellStyle name="Normal 4 2 11 6" xfId="790" xr:uid="{00000000-0005-0000-0000-0000EA000000}"/>
    <cellStyle name="Normal 4 2 11 6 2" xfId="1667" xr:uid="{00000000-0005-0000-0000-0000EB000000}"/>
    <cellStyle name="Normal 4 2 11 7" xfId="1010" xr:uid="{00000000-0005-0000-0000-0000EC000000}"/>
    <cellStyle name="Normal 4 2 12" xfId="135" xr:uid="{00000000-0005-0000-0000-0000ED000000}"/>
    <cellStyle name="Normal 4 2 12 2" xfId="356" xr:uid="{00000000-0005-0000-0000-0000EE000000}"/>
    <cellStyle name="Normal 4 2 12 2 2" xfId="1233" xr:uid="{00000000-0005-0000-0000-0000EF000000}"/>
    <cellStyle name="Normal 4 2 12 3" xfId="575" xr:uid="{00000000-0005-0000-0000-0000F0000000}"/>
    <cellStyle name="Normal 4 2 12 3 2" xfId="1452" xr:uid="{00000000-0005-0000-0000-0000F1000000}"/>
    <cellStyle name="Normal 4 2 12 4" xfId="794" xr:uid="{00000000-0005-0000-0000-0000F2000000}"/>
    <cellStyle name="Normal 4 2 12 4 2" xfId="1671" xr:uid="{00000000-0005-0000-0000-0000F3000000}"/>
    <cellStyle name="Normal 4 2 12 5" xfId="1014" xr:uid="{00000000-0005-0000-0000-0000F4000000}"/>
    <cellStyle name="Normal 4 2 13" xfId="210" xr:uid="{00000000-0005-0000-0000-0000F5000000}"/>
    <cellStyle name="Normal 4 2 13 2" xfId="429" xr:uid="{00000000-0005-0000-0000-0000F6000000}"/>
    <cellStyle name="Normal 4 2 13 2 2" xfId="1306" xr:uid="{00000000-0005-0000-0000-0000F7000000}"/>
    <cellStyle name="Normal 4 2 13 3" xfId="648" xr:uid="{00000000-0005-0000-0000-0000F8000000}"/>
    <cellStyle name="Normal 4 2 13 3 2" xfId="1525" xr:uid="{00000000-0005-0000-0000-0000F9000000}"/>
    <cellStyle name="Normal 4 2 13 4" xfId="867" xr:uid="{00000000-0005-0000-0000-0000FA000000}"/>
    <cellStyle name="Normal 4 2 13 4 2" xfId="1744" xr:uid="{00000000-0005-0000-0000-0000FB000000}"/>
    <cellStyle name="Normal 4 2 13 5" xfId="1087" xr:uid="{00000000-0005-0000-0000-0000FC000000}"/>
    <cellStyle name="Normal 4 2 14" xfId="283" xr:uid="{00000000-0005-0000-0000-0000FD000000}"/>
    <cellStyle name="Normal 4 2 14 2" xfId="1160" xr:uid="{00000000-0005-0000-0000-0000FE000000}"/>
    <cellStyle name="Normal 4 2 15" xfId="502" xr:uid="{00000000-0005-0000-0000-0000FF000000}"/>
    <cellStyle name="Normal 4 2 15 2" xfId="1379" xr:uid="{00000000-0005-0000-0000-000000010000}"/>
    <cellStyle name="Normal 4 2 16" xfId="721" xr:uid="{00000000-0005-0000-0000-000001010000}"/>
    <cellStyle name="Normal 4 2 16 2" xfId="1598" xr:uid="{00000000-0005-0000-0000-000002010000}"/>
    <cellStyle name="Normal 4 2 17" xfId="940" xr:uid="{00000000-0005-0000-0000-000003010000}"/>
    <cellStyle name="Normal 4 2 2" xfId="50" xr:uid="{00000000-0005-0000-0000-000004010000}"/>
    <cellStyle name="Normal 4 2 2 10" xfId="949" xr:uid="{00000000-0005-0000-0000-000005010000}"/>
    <cellStyle name="Normal 4 2 2 2" xfId="74" xr:uid="{00000000-0005-0000-0000-000006010000}"/>
    <cellStyle name="Normal 4 2 2 2 2" xfId="168" xr:uid="{00000000-0005-0000-0000-000007010000}"/>
    <cellStyle name="Normal 4 2 2 2 2 2" xfId="389" xr:uid="{00000000-0005-0000-0000-000008010000}"/>
    <cellStyle name="Normal 4 2 2 2 2 2 2" xfId="1266" xr:uid="{00000000-0005-0000-0000-000009010000}"/>
    <cellStyle name="Normal 4 2 2 2 2 3" xfId="608" xr:uid="{00000000-0005-0000-0000-00000A010000}"/>
    <cellStyle name="Normal 4 2 2 2 2 3 2" xfId="1485" xr:uid="{00000000-0005-0000-0000-00000B010000}"/>
    <cellStyle name="Normal 4 2 2 2 2 4" xfId="827" xr:uid="{00000000-0005-0000-0000-00000C010000}"/>
    <cellStyle name="Normal 4 2 2 2 2 4 2" xfId="1704" xr:uid="{00000000-0005-0000-0000-00000D010000}"/>
    <cellStyle name="Normal 4 2 2 2 2 5" xfId="1047" xr:uid="{00000000-0005-0000-0000-00000E010000}"/>
    <cellStyle name="Normal 4 2 2 2 3" xfId="243" xr:uid="{00000000-0005-0000-0000-00000F010000}"/>
    <cellStyle name="Normal 4 2 2 2 3 2" xfId="462" xr:uid="{00000000-0005-0000-0000-000010010000}"/>
    <cellStyle name="Normal 4 2 2 2 3 2 2" xfId="1339" xr:uid="{00000000-0005-0000-0000-000011010000}"/>
    <cellStyle name="Normal 4 2 2 2 3 3" xfId="681" xr:uid="{00000000-0005-0000-0000-000012010000}"/>
    <cellStyle name="Normal 4 2 2 2 3 3 2" xfId="1558" xr:uid="{00000000-0005-0000-0000-000013010000}"/>
    <cellStyle name="Normal 4 2 2 2 3 4" xfId="900" xr:uid="{00000000-0005-0000-0000-000014010000}"/>
    <cellStyle name="Normal 4 2 2 2 3 4 2" xfId="1777" xr:uid="{00000000-0005-0000-0000-000015010000}"/>
    <cellStyle name="Normal 4 2 2 2 3 5" xfId="1120" xr:uid="{00000000-0005-0000-0000-000016010000}"/>
    <cellStyle name="Normal 4 2 2 2 4" xfId="316" xr:uid="{00000000-0005-0000-0000-000017010000}"/>
    <cellStyle name="Normal 4 2 2 2 4 2" xfId="1193" xr:uid="{00000000-0005-0000-0000-000018010000}"/>
    <cellStyle name="Normal 4 2 2 2 5" xfId="535" xr:uid="{00000000-0005-0000-0000-000019010000}"/>
    <cellStyle name="Normal 4 2 2 2 5 2" xfId="1412" xr:uid="{00000000-0005-0000-0000-00001A010000}"/>
    <cellStyle name="Normal 4 2 2 2 6" xfId="754" xr:uid="{00000000-0005-0000-0000-00001B010000}"/>
    <cellStyle name="Normal 4 2 2 2 6 2" xfId="1631" xr:uid="{00000000-0005-0000-0000-00001C010000}"/>
    <cellStyle name="Normal 4 2 2 2 7" xfId="973" xr:uid="{00000000-0005-0000-0000-00001D010000}"/>
    <cellStyle name="Normal 4 2 2 3" xfId="106" xr:uid="{00000000-0005-0000-0000-00001E010000}"/>
    <cellStyle name="Normal 4 2 2 3 2" xfId="183" xr:uid="{00000000-0005-0000-0000-00001F010000}"/>
    <cellStyle name="Normal 4 2 2 3 2 2" xfId="404" xr:uid="{00000000-0005-0000-0000-000020010000}"/>
    <cellStyle name="Normal 4 2 2 3 2 2 2" xfId="1281" xr:uid="{00000000-0005-0000-0000-000021010000}"/>
    <cellStyle name="Normal 4 2 2 3 2 3" xfId="623" xr:uid="{00000000-0005-0000-0000-000022010000}"/>
    <cellStyle name="Normal 4 2 2 3 2 3 2" xfId="1500" xr:uid="{00000000-0005-0000-0000-000023010000}"/>
    <cellStyle name="Normal 4 2 2 3 2 4" xfId="842" xr:uid="{00000000-0005-0000-0000-000024010000}"/>
    <cellStyle name="Normal 4 2 2 3 2 4 2" xfId="1719" xr:uid="{00000000-0005-0000-0000-000025010000}"/>
    <cellStyle name="Normal 4 2 2 3 2 5" xfId="1062" xr:uid="{00000000-0005-0000-0000-000026010000}"/>
    <cellStyle name="Normal 4 2 2 3 3" xfId="258" xr:uid="{00000000-0005-0000-0000-000027010000}"/>
    <cellStyle name="Normal 4 2 2 3 3 2" xfId="477" xr:uid="{00000000-0005-0000-0000-000028010000}"/>
    <cellStyle name="Normal 4 2 2 3 3 2 2" xfId="1354" xr:uid="{00000000-0005-0000-0000-000029010000}"/>
    <cellStyle name="Normal 4 2 2 3 3 3" xfId="696" xr:uid="{00000000-0005-0000-0000-00002A010000}"/>
    <cellStyle name="Normal 4 2 2 3 3 3 2" xfId="1573" xr:uid="{00000000-0005-0000-0000-00002B010000}"/>
    <cellStyle name="Normal 4 2 2 3 3 4" xfId="915" xr:uid="{00000000-0005-0000-0000-00002C010000}"/>
    <cellStyle name="Normal 4 2 2 3 3 4 2" xfId="1792" xr:uid="{00000000-0005-0000-0000-00002D010000}"/>
    <cellStyle name="Normal 4 2 2 3 3 5" xfId="1135" xr:uid="{00000000-0005-0000-0000-00002E010000}"/>
    <cellStyle name="Normal 4 2 2 3 4" xfId="331" xr:uid="{00000000-0005-0000-0000-00002F010000}"/>
    <cellStyle name="Normal 4 2 2 3 4 2" xfId="1208" xr:uid="{00000000-0005-0000-0000-000030010000}"/>
    <cellStyle name="Normal 4 2 2 3 5" xfId="550" xr:uid="{00000000-0005-0000-0000-000031010000}"/>
    <cellStyle name="Normal 4 2 2 3 5 2" xfId="1427" xr:uid="{00000000-0005-0000-0000-000032010000}"/>
    <cellStyle name="Normal 4 2 2 3 6" xfId="769" xr:uid="{00000000-0005-0000-0000-000033010000}"/>
    <cellStyle name="Normal 4 2 2 3 6 2" xfId="1646" xr:uid="{00000000-0005-0000-0000-000034010000}"/>
    <cellStyle name="Normal 4 2 2 3 7" xfId="989" xr:uid="{00000000-0005-0000-0000-000035010000}"/>
    <cellStyle name="Normal 4 2 2 4" xfId="66" xr:uid="{00000000-0005-0000-0000-000036010000}"/>
    <cellStyle name="Normal 4 2 2 4 2" xfId="160" xr:uid="{00000000-0005-0000-0000-000037010000}"/>
    <cellStyle name="Normal 4 2 2 4 2 2" xfId="381" xr:uid="{00000000-0005-0000-0000-000038010000}"/>
    <cellStyle name="Normal 4 2 2 4 2 2 2" xfId="1258" xr:uid="{00000000-0005-0000-0000-000039010000}"/>
    <cellStyle name="Normal 4 2 2 4 2 3" xfId="600" xr:uid="{00000000-0005-0000-0000-00003A010000}"/>
    <cellStyle name="Normal 4 2 2 4 2 3 2" xfId="1477" xr:uid="{00000000-0005-0000-0000-00003B010000}"/>
    <cellStyle name="Normal 4 2 2 4 2 4" xfId="819" xr:uid="{00000000-0005-0000-0000-00003C010000}"/>
    <cellStyle name="Normal 4 2 2 4 2 4 2" xfId="1696" xr:uid="{00000000-0005-0000-0000-00003D010000}"/>
    <cellStyle name="Normal 4 2 2 4 2 5" xfId="1039" xr:uid="{00000000-0005-0000-0000-00003E010000}"/>
    <cellStyle name="Normal 4 2 2 4 3" xfId="235" xr:uid="{00000000-0005-0000-0000-00003F010000}"/>
    <cellStyle name="Normal 4 2 2 4 3 2" xfId="454" xr:uid="{00000000-0005-0000-0000-000040010000}"/>
    <cellStyle name="Normal 4 2 2 4 3 2 2" xfId="1331" xr:uid="{00000000-0005-0000-0000-000041010000}"/>
    <cellStyle name="Normal 4 2 2 4 3 3" xfId="673" xr:uid="{00000000-0005-0000-0000-000042010000}"/>
    <cellStyle name="Normal 4 2 2 4 3 3 2" xfId="1550" xr:uid="{00000000-0005-0000-0000-000043010000}"/>
    <cellStyle name="Normal 4 2 2 4 3 4" xfId="892" xr:uid="{00000000-0005-0000-0000-000044010000}"/>
    <cellStyle name="Normal 4 2 2 4 3 4 2" xfId="1769" xr:uid="{00000000-0005-0000-0000-000045010000}"/>
    <cellStyle name="Normal 4 2 2 4 3 5" xfId="1112" xr:uid="{00000000-0005-0000-0000-000046010000}"/>
    <cellStyle name="Normal 4 2 2 4 4" xfId="308" xr:uid="{00000000-0005-0000-0000-000047010000}"/>
    <cellStyle name="Normal 4 2 2 4 4 2" xfId="1185" xr:uid="{00000000-0005-0000-0000-000048010000}"/>
    <cellStyle name="Normal 4 2 2 4 5" xfId="527" xr:uid="{00000000-0005-0000-0000-000049010000}"/>
    <cellStyle name="Normal 4 2 2 4 5 2" xfId="1404" xr:uid="{00000000-0005-0000-0000-00004A010000}"/>
    <cellStyle name="Normal 4 2 2 4 6" xfId="746" xr:uid="{00000000-0005-0000-0000-00004B010000}"/>
    <cellStyle name="Normal 4 2 2 4 6 2" xfId="1623" xr:uid="{00000000-0005-0000-0000-00004C010000}"/>
    <cellStyle name="Normal 4 2 2 4 7" xfId="965" xr:uid="{00000000-0005-0000-0000-00004D010000}"/>
    <cellStyle name="Normal 4 2 2 5" xfId="144" xr:uid="{00000000-0005-0000-0000-00004E010000}"/>
    <cellStyle name="Normal 4 2 2 5 2" xfId="365" xr:uid="{00000000-0005-0000-0000-00004F010000}"/>
    <cellStyle name="Normal 4 2 2 5 2 2" xfId="1242" xr:uid="{00000000-0005-0000-0000-000050010000}"/>
    <cellStyle name="Normal 4 2 2 5 3" xfId="584" xr:uid="{00000000-0005-0000-0000-000051010000}"/>
    <cellStyle name="Normal 4 2 2 5 3 2" xfId="1461" xr:uid="{00000000-0005-0000-0000-000052010000}"/>
    <cellStyle name="Normal 4 2 2 5 4" xfId="803" xr:uid="{00000000-0005-0000-0000-000053010000}"/>
    <cellStyle name="Normal 4 2 2 5 4 2" xfId="1680" xr:uid="{00000000-0005-0000-0000-000054010000}"/>
    <cellStyle name="Normal 4 2 2 5 5" xfId="1023" xr:uid="{00000000-0005-0000-0000-000055010000}"/>
    <cellStyle name="Normal 4 2 2 6" xfId="219" xr:uid="{00000000-0005-0000-0000-000056010000}"/>
    <cellStyle name="Normal 4 2 2 6 2" xfId="438" xr:uid="{00000000-0005-0000-0000-000057010000}"/>
    <cellStyle name="Normal 4 2 2 6 2 2" xfId="1315" xr:uid="{00000000-0005-0000-0000-000058010000}"/>
    <cellStyle name="Normal 4 2 2 6 3" xfId="657" xr:uid="{00000000-0005-0000-0000-000059010000}"/>
    <cellStyle name="Normal 4 2 2 6 3 2" xfId="1534" xr:uid="{00000000-0005-0000-0000-00005A010000}"/>
    <cellStyle name="Normal 4 2 2 6 4" xfId="876" xr:uid="{00000000-0005-0000-0000-00005B010000}"/>
    <cellStyle name="Normal 4 2 2 6 4 2" xfId="1753" xr:uid="{00000000-0005-0000-0000-00005C010000}"/>
    <cellStyle name="Normal 4 2 2 6 5" xfId="1096" xr:uid="{00000000-0005-0000-0000-00005D010000}"/>
    <cellStyle name="Normal 4 2 2 7" xfId="292" xr:uid="{00000000-0005-0000-0000-00005E010000}"/>
    <cellStyle name="Normal 4 2 2 7 2" xfId="1169" xr:uid="{00000000-0005-0000-0000-00005F010000}"/>
    <cellStyle name="Normal 4 2 2 8" xfId="511" xr:uid="{00000000-0005-0000-0000-000060010000}"/>
    <cellStyle name="Normal 4 2 2 8 2" xfId="1388" xr:uid="{00000000-0005-0000-0000-000061010000}"/>
    <cellStyle name="Normal 4 2 2 9" xfId="730" xr:uid="{00000000-0005-0000-0000-000062010000}"/>
    <cellStyle name="Normal 4 2 2 9 2" xfId="1607" xr:uid="{00000000-0005-0000-0000-000063010000}"/>
    <cellStyle name="Normal 4 2 3" xfId="54" xr:uid="{00000000-0005-0000-0000-000064010000}"/>
    <cellStyle name="Normal 4 2 3 2" xfId="111" xr:uid="{00000000-0005-0000-0000-000065010000}"/>
    <cellStyle name="Normal 4 2 3 2 2" xfId="188" xr:uid="{00000000-0005-0000-0000-000066010000}"/>
    <cellStyle name="Normal 4 2 3 2 2 2" xfId="409" xr:uid="{00000000-0005-0000-0000-000067010000}"/>
    <cellStyle name="Normal 4 2 3 2 2 2 2" xfId="1286" xr:uid="{00000000-0005-0000-0000-000068010000}"/>
    <cellStyle name="Normal 4 2 3 2 2 3" xfId="628" xr:uid="{00000000-0005-0000-0000-000069010000}"/>
    <cellStyle name="Normal 4 2 3 2 2 3 2" xfId="1505" xr:uid="{00000000-0005-0000-0000-00006A010000}"/>
    <cellStyle name="Normal 4 2 3 2 2 4" xfId="847" xr:uid="{00000000-0005-0000-0000-00006B010000}"/>
    <cellStyle name="Normal 4 2 3 2 2 4 2" xfId="1724" xr:uid="{00000000-0005-0000-0000-00006C010000}"/>
    <cellStyle name="Normal 4 2 3 2 2 5" xfId="1067" xr:uid="{00000000-0005-0000-0000-00006D010000}"/>
    <cellStyle name="Normal 4 2 3 2 3" xfId="263" xr:uid="{00000000-0005-0000-0000-00006E010000}"/>
    <cellStyle name="Normal 4 2 3 2 3 2" xfId="482" xr:uid="{00000000-0005-0000-0000-00006F010000}"/>
    <cellStyle name="Normal 4 2 3 2 3 2 2" xfId="1359" xr:uid="{00000000-0005-0000-0000-000070010000}"/>
    <cellStyle name="Normal 4 2 3 2 3 3" xfId="701" xr:uid="{00000000-0005-0000-0000-000071010000}"/>
    <cellStyle name="Normal 4 2 3 2 3 3 2" xfId="1578" xr:uid="{00000000-0005-0000-0000-000072010000}"/>
    <cellStyle name="Normal 4 2 3 2 3 4" xfId="920" xr:uid="{00000000-0005-0000-0000-000073010000}"/>
    <cellStyle name="Normal 4 2 3 2 3 4 2" xfId="1797" xr:uid="{00000000-0005-0000-0000-000074010000}"/>
    <cellStyle name="Normal 4 2 3 2 3 5" xfId="1140" xr:uid="{00000000-0005-0000-0000-000075010000}"/>
    <cellStyle name="Normal 4 2 3 2 4" xfId="336" xr:uid="{00000000-0005-0000-0000-000076010000}"/>
    <cellStyle name="Normal 4 2 3 2 4 2" xfId="1213" xr:uid="{00000000-0005-0000-0000-000077010000}"/>
    <cellStyle name="Normal 4 2 3 2 5" xfId="555" xr:uid="{00000000-0005-0000-0000-000078010000}"/>
    <cellStyle name="Normal 4 2 3 2 5 2" xfId="1432" xr:uid="{00000000-0005-0000-0000-000079010000}"/>
    <cellStyle name="Normal 4 2 3 2 6" xfId="774" xr:uid="{00000000-0005-0000-0000-00007A010000}"/>
    <cellStyle name="Normal 4 2 3 2 6 2" xfId="1651" xr:uid="{00000000-0005-0000-0000-00007B010000}"/>
    <cellStyle name="Normal 4 2 3 2 7" xfId="994" xr:uid="{00000000-0005-0000-0000-00007C010000}"/>
    <cellStyle name="Normal 4 2 3 3" xfId="85" xr:uid="{00000000-0005-0000-0000-00007D010000}"/>
    <cellStyle name="Normal 4 2 3 3 2" xfId="173" xr:uid="{00000000-0005-0000-0000-00007E010000}"/>
    <cellStyle name="Normal 4 2 3 3 2 2" xfId="394" xr:uid="{00000000-0005-0000-0000-00007F010000}"/>
    <cellStyle name="Normal 4 2 3 3 2 2 2" xfId="1271" xr:uid="{00000000-0005-0000-0000-000080010000}"/>
    <cellStyle name="Normal 4 2 3 3 2 3" xfId="613" xr:uid="{00000000-0005-0000-0000-000081010000}"/>
    <cellStyle name="Normal 4 2 3 3 2 3 2" xfId="1490" xr:uid="{00000000-0005-0000-0000-000082010000}"/>
    <cellStyle name="Normal 4 2 3 3 2 4" xfId="832" xr:uid="{00000000-0005-0000-0000-000083010000}"/>
    <cellStyle name="Normal 4 2 3 3 2 4 2" xfId="1709" xr:uid="{00000000-0005-0000-0000-000084010000}"/>
    <cellStyle name="Normal 4 2 3 3 2 5" xfId="1052" xr:uid="{00000000-0005-0000-0000-000085010000}"/>
    <cellStyle name="Normal 4 2 3 3 3" xfId="248" xr:uid="{00000000-0005-0000-0000-000086010000}"/>
    <cellStyle name="Normal 4 2 3 3 3 2" xfId="467" xr:uid="{00000000-0005-0000-0000-000087010000}"/>
    <cellStyle name="Normal 4 2 3 3 3 2 2" xfId="1344" xr:uid="{00000000-0005-0000-0000-000088010000}"/>
    <cellStyle name="Normal 4 2 3 3 3 3" xfId="686" xr:uid="{00000000-0005-0000-0000-000089010000}"/>
    <cellStyle name="Normal 4 2 3 3 3 3 2" xfId="1563" xr:uid="{00000000-0005-0000-0000-00008A010000}"/>
    <cellStyle name="Normal 4 2 3 3 3 4" xfId="905" xr:uid="{00000000-0005-0000-0000-00008B010000}"/>
    <cellStyle name="Normal 4 2 3 3 3 4 2" xfId="1782" xr:uid="{00000000-0005-0000-0000-00008C010000}"/>
    <cellStyle name="Normal 4 2 3 3 3 5" xfId="1125" xr:uid="{00000000-0005-0000-0000-00008D010000}"/>
    <cellStyle name="Normal 4 2 3 3 4" xfId="321" xr:uid="{00000000-0005-0000-0000-00008E010000}"/>
    <cellStyle name="Normal 4 2 3 3 4 2" xfId="1198" xr:uid="{00000000-0005-0000-0000-00008F010000}"/>
    <cellStyle name="Normal 4 2 3 3 5" xfId="540" xr:uid="{00000000-0005-0000-0000-000090010000}"/>
    <cellStyle name="Normal 4 2 3 3 5 2" xfId="1417" xr:uid="{00000000-0005-0000-0000-000091010000}"/>
    <cellStyle name="Normal 4 2 3 3 6" xfId="759" xr:uid="{00000000-0005-0000-0000-000092010000}"/>
    <cellStyle name="Normal 4 2 3 3 6 2" xfId="1636" xr:uid="{00000000-0005-0000-0000-000093010000}"/>
    <cellStyle name="Normal 4 2 3 3 7" xfId="978" xr:uid="{00000000-0005-0000-0000-000094010000}"/>
    <cellStyle name="Normal 4 2 3 4" xfId="148" xr:uid="{00000000-0005-0000-0000-000095010000}"/>
    <cellStyle name="Normal 4 2 3 4 2" xfId="369" xr:uid="{00000000-0005-0000-0000-000096010000}"/>
    <cellStyle name="Normal 4 2 3 4 2 2" xfId="1246" xr:uid="{00000000-0005-0000-0000-000097010000}"/>
    <cellStyle name="Normal 4 2 3 4 3" xfId="588" xr:uid="{00000000-0005-0000-0000-000098010000}"/>
    <cellStyle name="Normal 4 2 3 4 3 2" xfId="1465" xr:uid="{00000000-0005-0000-0000-000099010000}"/>
    <cellStyle name="Normal 4 2 3 4 4" xfId="807" xr:uid="{00000000-0005-0000-0000-00009A010000}"/>
    <cellStyle name="Normal 4 2 3 4 4 2" xfId="1684" xr:uid="{00000000-0005-0000-0000-00009B010000}"/>
    <cellStyle name="Normal 4 2 3 4 5" xfId="1027" xr:uid="{00000000-0005-0000-0000-00009C010000}"/>
    <cellStyle name="Normal 4 2 3 5" xfId="223" xr:uid="{00000000-0005-0000-0000-00009D010000}"/>
    <cellStyle name="Normal 4 2 3 5 2" xfId="442" xr:uid="{00000000-0005-0000-0000-00009E010000}"/>
    <cellStyle name="Normal 4 2 3 5 2 2" xfId="1319" xr:uid="{00000000-0005-0000-0000-00009F010000}"/>
    <cellStyle name="Normal 4 2 3 5 3" xfId="661" xr:uid="{00000000-0005-0000-0000-0000A0010000}"/>
    <cellStyle name="Normal 4 2 3 5 3 2" xfId="1538" xr:uid="{00000000-0005-0000-0000-0000A1010000}"/>
    <cellStyle name="Normal 4 2 3 5 4" xfId="880" xr:uid="{00000000-0005-0000-0000-0000A2010000}"/>
    <cellStyle name="Normal 4 2 3 5 4 2" xfId="1757" xr:uid="{00000000-0005-0000-0000-0000A3010000}"/>
    <cellStyle name="Normal 4 2 3 5 5" xfId="1100" xr:uid="{00000000-0005-0000-0000-0000A4010000}"/>
    <cellStyle name="Normal 4 2 3 6" xfId="296" xr:uid="{00000000-0005-0000-0000-0000A5010000}"/>
    <cellStyle name="Normal 4 2 3 6 2" xfId="1173" xr:uid="{00000000-0005-0000-0000-0000A6010000}"/>
    <cellStyle name="Normal 4 2 3 7" xfId="515" xr:uid="{00000000-0005-0000-0000-0000A7010000}"/>
    <cellStyle name="Normal 4 2 3 7 2" xfId="1392" xr:uid="{00000000-0005-0000-0000-0000A8010000}"/>
    <cellStyle name="Normal 4 2 3 8" xfId="734" xr:uid="{00000000-0005-0000-0000-0000A9010000}"/>
    <cellStyle name="Normal 4 2 3 8 2" xfId="1611" xr:uid="{00000000-0005-0000-0000-0000AA010000}"/>
    <cellStyle name="Normal 4 2 3 9" xfId="953" xr:uid="{00000000-0005-0000-0000-0000AB010000}"/>
    <cellStyle name="Normal 4 2 4" xfId="70" xr:uid="{00000000-0005-0000-0000-0000AC010000}"/>
    <cellStyle name="Normal 4 2 4 2" xfId="164" xr:uid="{00000000-0005-0000-0000-0000AD010000}"/>
    <cellStyle name="Normal 4 2 4 2 2" xfId="385" xr:uid="{00000000-0005-0000-0000-0000AE010000}"/>
    <cellStyle name="Normal 4 2 4 2 2 2" xfId="1262" xr:uid="{00000000-0005-0000-0000-0000AF010000}"/>
    <cellStyle name="Normal 4 2 4 2 3" xfId="604" xr:uid="{00000000-0005-0000-0000-0000B0010000}"/>
    <cellStyle name="Normal 4 2 4 2 3 2" xfId="1481" xr:uid="{00000000-0005-0000-0000-0000B1010000}"/>
    <cellStyle name="Normal 4 2 4 2 4" xfId="823" xr:uid="{00000000-0005-0000-0000-0000B2010000}"/>
    <cellStyle name="Normal 4 2 4 2 4 2" xfId="1700" xr:uid="{00000000-0005-0000-0000-0000B3010000}"/>
    <cellStyle name="Normal 4 2 4 2 5" xfId="1043" xr:uid="{00000000-0005-0000-0000-0000B4010000}"/>
    <cellStyle name="Normal 4 2 4 3" xfId="239" xr:uid="{00000000-0005-0000-0000-0000B5010000}"/>
    <cellStyle name="Normal 4 2 4 3 2" xfId="458" xr:uid="{00000000-0005-0000-0000-0000B6010000}"/>
    <cellStyle name="Normal 4 2 4 3 2 2" xfId="1335" xr:uid="{00000000-0005-0000-0000-0000B7010000}"/>
    <cellStyle name="Normal 4 2 4 3 3" xfId="677" xr:uid="{00000000-0005-0000-0000-0000B8010000}"/>
    <cellStyle name="Normal 4 2 4 3 3 2" xfId="1554" xr:uid="{00000000-0005-0000-0000-0000B9010000}"/>
    <cellStyle name="Normal 4 2 4 3 4" xfId="896" xr:uid="{00000000-0005-0000-0000-0000BA010000}"/>
    <cellStyle name="Normal 4 2 4 3 4 2" xfId="1773" xr:uid="{00000000-0005-0000-0000-0000BB010000}"/>
    <cellStyle name="Normal 4 2 4 3 5" xfId="1116" xr:uid="{00000000-0005-0000-0000-0000BC010000}"/>
    <cellStyle name="Normal 4 2 4 4" xfId="312" xr:uid="{00000000-0005-0000-0000-0000BD010000}"/>
    <cellStyle name="Normal 4 2 4 4 2" xfId="1189" xr:uid="{00000000-0005-0000-0000-0000BE010000}"/>
    <cellStyle name="Normal 4 2 4 5" xfId="531" xr:uid="{00000000-0005-0000-0000-0000BF010000}"/>
    <cellStyle name="Normal 4 2 4 5 2" xfId="1408" xr:uid="{00000000-0005-0000-0000-0000C0010000}"/>
    <cellStyle name="Normal 4 2 4 6" xfId="750" xr:uid="{00000000-0005-0000-0000-0000C1010000}"/>
    <cellStyle name="Normal 4 2 4 6 2" xfId="1627" xr:uid="{00000000-0005-0000-0000-0000C2010000}"/>
    <cellStyle name="Normal 4 2 4 7" xfId="969" xr:uid="{00000000-0005-0000-0000-0000C3010000}"/>
    <cellStyle name="Normal 4 2 5" xfId="62" xr:uid="{00000000-0005-0000-0000-0000C4010000}"/>
    <cellStyle name="Normal 4 2 5 2" xfId="156" xr:uid="{00000000-0005-0000-0000-0000C5010000}"/>
    <cellStyle name="Normal 4 2 5 2 2" xfId="377" xr:uid="{00000000-0005-0000-0000-0000C6010000}"/>
    <cellStyle name="Normal 4 2 5 2 2 2" xfId="1254" xr:uid="{00000000-0005-0000-0000-0000C7010000}"/>
    <cellStyle name="Normal 4 2 5 2 3" xfId="596" xr:uid="{00000000-0005-0000-0000-0000C8010000}"/>
    <cellStyle name="Normal 4 2 5 2 3 2" xfId="1473" xr:uid="{00000000-0005-0000-0000-0000C9010000}"/>
    <cellStyle name="Normal 4 2 5 2 4" xfId="815" xr:uid="{00000000-0005-0000-0000-0000CA010000}"/>
    <cellStyle name="Normal 4 2 5 2 4 2" xfId="1692" xr:uid="{00000000-0005-0000-0000-0000CB010000}"/>
    <cellStyle name="Normal 4 2 5 2 5" xfId="1035" xr:uid="{00000000-0005-0000-0000-0000CC010000}"/>
    <cellStyle name="Normal 4 2 5 3" xfId="231" xr:uid="{00000000-0005-0000-0000-0000CD010000}"/>
    <cellStyle name="Normal 4 2 5 3 2" xfId="450" xr:uid="{00000000-0005-0000-0000-0000CE010000}"/>
    <cellStyle name="Normal 4 2 5 3 2 2" xfId="1327" xr:uid="{00000000-0005-0000-0000-0000CF010000}"/>
    <cellStyle name="Normal 4 2 5 3 3" xfId="669" xr:uid="{00000000-0005-0000-0000-0000D0010000}"/>
    <cellStyle name="Normal 4 2 5 3 3 2" xfId="1546" xr:uid="{00000000-0005-0000-0000-0000D1010000}"/>
    <cellStyle name="Normal 4 2 5 3 4" xfId="888" xr:uid="{00000000-0005-0000-0000-0000D2010000}"/>
    <cellStyle name="Normal 4 2 5 3 4 2" xfId="1765" xr:uid="{00000000-0005-0000-0000-0000D3010000}"/>
    <cellStyle name="Normal 4 2 5 3 5" xfId="1108" xr:uid="{00000000-0005-0000-0000-0000D4010000}"/>
    <cellStyle name="Normal 4 2 5 4" xfId="304" xr:uid="{00000000-0005-0000-0000-0000D5010000}"/>
    <cellStyle name="Normal 4 2 5 4 2" xfId="1181" xr:uid="{00000000-0005-0000-0000-0000D6010000}"/>
    <cellStyle name="Normal 4 2 5 5" xfId="523" xr:uid="{00000000-0005-0000-0000-0000D7010000}"/>
    <cellStyle name="Normal 4 2 5 5 2" xfId="1400" xr:uid="{00000000-0005-0000-0000-0000D8010000}"/>
    <cellStyle name="Normal 4 2 5 6" xfId="742" xr:uid="{00000000-0005-0000-0000-0000D9010000}"/>
    <cellStyle name="Normal 4 2 5 6 2" xfId="1619" xr:uid="{00000000-0005-0000-0000-0000DA010000}"/>
    <cellStyle name="Normal 4 2 5 7" xfId="961" xr:uid="{00000000-0005-0000-0000-0000DB010000}"/>
    <cellStyle name="Normal 4 2 6" xfId="102" xr:uid="{00000000-0005-0000-0000-0000DC010000}"/>
    <cellStyle name="Normal 4 2 6 2" xfId="179" xr:uid="{00000000-0005-0000-0000-0000DD010000}"/>
    <cellStyle name="Normal 4 2 6 2 2" xfId="400" xr:uid="{00000000-0005-0000-0000-0000DE010000}"/>
    <cellStyle name="Normal 4 2 6 2 2 2" xfId="1277" xr:uid="{00000000-0005-0000-0000-0000DF010000}"/>
    <cellStyle name="Normal 4 2 6 2 3" xfId="619" xr:uid="{00000000-0005-0000-0000-0000E0010000}"/>
    <cellStyle name="Normal 4 2 6 2 3 2" xfId="1496" xr:uid="{00000000-0005-0000-0000-0000E1010000}"/>
    <cellStyle name="Normal 4 2 6 2 4" xfId="838" xr:uid="{00000000-0005-0000-0000-0000E2010000}"/>
    <cellStyle name="Normal 4 2 6 2 4 2" xfId="1715" xr:uid="{00000000-0005-0000-0000-0000E3010000}"/>
    <cellStyle name="Normal 4 2 6 2 5" xfId="1058" xr:uid="{00000000-0005-0000-0000-0000E4010000}"/>
    <cellStyle name="Normal 4 2 6 3" xfId="254" xr:uid="{00000000-0005-0000-0000-0000E5010000}"/>
    <cellStyle name="Normal 4 2 6 3 2" xfId="473" xr:uid="{00000000-0005-0000-0000-0000E6010000}"/>
    <cellStyle name="Normal 4 2 6 3 2 2" xfId="1350" xr:uid="{00000000-0005-0000-0000-0000E7010000}"/>
    <cellStyle name="Normal 4 2 6 3 3" xfId="692" xr:uid="{00000000-0005-0000-0000-0000E8010000}"/>
    <cellStyle name="Normal 4 2 6 3 3 2" xfId="1569" xr:uid="{00000000-0005-0000-0000-0000E9010000}"/>
    <cellStyle name="Normal 4 2 6 3 4" xfId="911" xr:uid="{00000000-0005-0000-0000-0000EA010000}"/>
    <cellStyle name="Normal 4 2 6 3 4 2" xfId="1788" xr:uid="{00000000-0005-0000-0000-0000EB010000}"/>
    <cellStyle name="Normal 4 2 6 3 5" xfId="1131" xr:uid="{00000000-0005-0000-0000-0000EC010000}"/>
    <cellStyle name="Normal 4 2 6 4" xfId="327" xr:uid="{00000000-0005-0000-0000-0000ED010000}"/>
    <cellStyle name="Normal 4 2 6 4 2" xfId="1204" xr:uid="{00000000-0005-0000-0000-0000EE010000}"/>
    <cellStyle name="Normal 4 2 6 5" xfId="546" xr:uid="{00000000-0005-0000-0000-0000EF010000}"/>
    <cellStyle name="Normal 4 2 6 5 2" xfId="1423" xr:uid="{00000000-0005-0000-0000-0000F0010000}"/>
    <cellStyle name="Normal 4 2 6 6" xfId="765" xr:uid="{00000000-0005-0000-0000-0000F1010000}"/>
    <cellStyle name="Normal 4 2 6 6 2" xfId="1642" xr:uid="{00000000-0005-0000-0000-0000F2010000}"/>
    <cellStyle name="Normal 4 2 6 7" xfId="985" xr:uid="{00000000-0005-0000-0000-0000F3010000}"/>
    <cellStyle name="Normal 4 2 7" xfId="58" xr:uid="{00000000-0005-0000-0000-0000F4010000}"/>
    <cellStyle name="Normal 4 2 7 2" xfId="152" xr:uid="{00000000-0005-0000-0000-0000F5010000}"/>
    <cellStyle name="Normal 4 2 7 2 2" xfId="373" xr:uid="{00000000-0005-0000-0000-0000F6010000}"/>
    <cellStyle name="Normal 4 2 7 2 2 2" xfId="1250" xr:uid="{00000000-0005-0000-0000-0000F7010000}"/>
    <cellStyle name="Normal 4 2 7 2 3" xfId="592" xr:uid="{00000000-0005-0000-0000-0000F8010000}"/>
    <cellStyle name="Normal 4 2 7 2 3 2" xfId="1469" xr:uid="{00000000-0005-0000-0000-0000F9010000}"/>
    <cellStyle name="Normal 4 2 7 2 4" xfId="811" xr:uid="{00000000-0005-0000-0000-0000FA010000}"/>
    <cellStyle name="Normal 4 2 7 2 4 2" xfId="1688" xr:uid="{00000000-0005-0000-0000-0000FB010000}"/>
    <cellStyle name="Normal 4 2 7 2 5" xfId="1031" xr:uid="{00000000-0005-0000-0000-0000FC010000}"/>
    <cellStyle name="Normal 4 2 7 3" xfId="227" xr:uid="{00000000-0005-0000-0000-0000FD010000}"/>
    <cellStyle name="Normal 4 2 7 3 2" xfId="446" xr:uid="{00000000-0005-0000-0000-0000FE010000}"/>
    <cellStyle name="Normal 4 2 7 3 2 2" xfId="1323" xr:uid="{00000000-0005-0000-0000-0000FF010000}"/>
    <cellStyle name="Normal 4 2 7 3 3" xfId="665" xr:uid="{00000000-0005-0000-0000-000000020000}"/>
    <cellStyle name="Normal 4 2 7 3 3 2" xfId="1542" xr:uid="{00000000-0005-0000-0000-000001020000}"/>
    <cellStyle name="Normal 4 2 7 3 4" xfId="884" xr:uid="{00000000-0005-0000-0000-000002020000}"/>
    <cellStyle name="Normal 4 2 7 3 4 2" xfId="1761" xr:uid="{00000000-0005-0000-0000-000003020000}"/>
    <cellStyle name="Normal 4 2 7 3 5" xfId="1104" xr:uid="{00000000-0005-0000-0000-000004020000}"/>
    <cellStyle name="Normal 4 2 7 4" xfId="300" xr:uid="{00000000-0005-0000-0000-000005020000}"/>
    <cellStyle name="Normal 4 2 7 4 2" xfId="1177" xr:uid="{00000000-0005-0000-0000-000006020000}"/>
    <cellStyle name="Normal 4 2 7 5" xfId="519" xr:uid="{00000000-0005-0000-0000-000007020000}"/>
    <cellStyle name="Normal 4 2 7 5 2" xfId="1396" xr:uid="{00000000-0005-0000-0000-000008020000}"/>
    <cellStyle name="Normal 4 2 7 6" xfId="738" xr:uid="{00000000-0005-0000-0000-000009020000}"/>
    <cellStyle name="Normal 4 2 7 6 2" xfId="1615" xr:uid="{00000000-0005-0000-0000-00000A020000}"/>
    <cellStyle name="Normal 4 2 7 7" xfId="957" xr:uid="{00000000-0005-0000-0000-00000B020000}"/>
    <cellStyle name="Normal 4 2 8" xfId="117" xr:uid="{00000000-0005-0000-0000-00000C020000}"/>
    <cellStyle name="Normal 4 2 8 2" xfId="194" xr:uid="{00000000-0005-0000-0000-00000D020000}"/>
    <cellStyle name="Normal 4 2 8 2 2" xfId="415" xr:uid="{00000000-0005-0000-0000-00000E020000}"/>
    <cellStyle name="Normal 4 2 8 2 2 2" xfId="1292" xr:uid="{00000000-0005-0000-0000-00000F020000}"/>
    <cellStyle name="Normal 4 2 8 2 3" xfId="634" xr:uid="{00000000-0005-0000-0000-000010020000}"/>
    <cellStyle name="Normal 4 2 8 2 3 2" xfId="1511" xr:uid="{00000000-0005-0000-0000-000011020000}"/>
    <cellStyle name="Normal 4 2 8 2 4" xfId="853" xr:uid="{00000000-0005-0000-0000-000012020000}"/>
    <cellStyle name="Normal 4 2 8 2 4 2" xfId="1730" xr:uid="{00000000-0005-0000-0000-000013020000}"/>
    <cellStyle name="Normal 4 2 8 2 5" xfId="1073" xr:uid="{00000000-0005-0000-0000-000014020000}"/>
    <cellStyle name="Normal 4 2 8 3" xfId="269" xr:uid="{00000000-0005-0000-0000-000015020000}"/>
    <cellStyle name="Normal 4 2 8 3 2" xfId="488" xr:uid="{00000000-0005-0000-0000-000016020000}"/>
    <cellStyle name="Normal 4 2 8 3 2 2" xfId="1365" xr:uid="{00000000-0005-0000-0000-000017020000}"/>
    <cellStyle name="Normal 4 2 8 3 3" xfId="707" xr:uid="{00000000-0005-0000-0000-000018020000}"/>
    <cellStyle name="Normal 4 2 8 3 3 2" xfId="1584" xr:uid="{00000000-0005-0000-0000-000019020000}"/>
    <cellStyle name="Normal 4 2 8 3 4" xfId="926" xr:uid="{00000000-0005-0000-0000-00001A020000}"/>
    <cellStyle name="Normal 4 2 8 3 4 2" xfId="1803" xr:uid="{00000000-0005-0000-0000-00001B020000}"/>
    <cellStyle name="Normal 4 2 8 3 5" xfId="1146" xr:uid="{00000000-0005-0000-0000-00001C020000}"/>
    <cellStyle name="Normal 4 2 8 4" xfId="342" xr:uid="{00000000-0005-0000-0000-00001D020000}"/>
    <cellStyle name="Normal 4 2 8 4 2" xfId="1219" xr:uid="{00000000-0005-0000-0000-00001E020000}"/>
    <cellStyle name="Normal 4 2 8 5" xfId="561" xr:uid="{00000000-0005-0000-0000-00001F020000}"/>
    <cellStyle name="Normal 4 2 8 5 2" xfId="1438" xr:uid="{00000000-0005-0000-0000-000020020000}"/>
    <cellStyle name="Normal 4 2 8 6" xfId="780" xr:uid="{00000000-0005-0000-0000-000021020000}"/>
    <cellStyle name="Normal 4 2 8 6 2" xfId="1657" xr:uid="{00000000-0005-0000-0000-000022020000}"/>
    <cellStyle name="Normal 4 2 8 7" xfId="1000" xr:uid="{00000000-0005-0000-0000-000023020000}"/>
    <cellStyle name="Normal 4 2 9" xfId="45" xr:uid="{00000000-0005-0000-0000-000024020000}"/>
    <cellStyle name="Normal 4 2 9 2" xfId="139" xr:uid="{00000000-0005-0000-0000-000025020000}"/>
    <cellStyle name="Normal 4 2 9 2 2" xfId="360" xr:uid="{00000000-0005-0000-0000-000026020000}"/>
    <cellStyle name="Normal 4 2 9 2 2 2" xfId="1237" xr:uid="{00000000-0005-0000-0000-000027020000}"/>
    <cellStyle name="Normal 4 2 9 2 3" xfId="579" xr:uid="{00000000-0005-0000-0000-000028020000}"/>
    <cellStyle name="Normal 4 2 9 2 3 2" xfId="1456" xr:uid="{00000000-0005-0000-0000-000029020000}"/>
    <cellStyle name="Normal 4 2 9 2 4" xfId="798" xr:uid="{00000000-0005-0000-0000-00002A020000}"/>
    <cellStyle name="Normal 4 2 9 2 4 2" xfId="1675" xr:uid="{00000000-0005-0000-0000-00002B020000}"/>
    <cellStyle name="Normal 4 2 9 2 5" xfId="1018" xr:uid="{00000000-0005-0000-0000-00002C020000}"/>
    <cellStyle name="Normal 4 2 9 3" xfId="214" xr:uid="{00000000-0005-0000-0000-00002D020000}"/>
    <cellStyle name="Normal 4 2 9 3 2" xfId="433" xr:uid="{00000000-0005-0000-0000-00002E020000}"/>
    <cellStyle name="Normal 4 2 9 3 2 2" xfId="1310" xr:uid="{00000000-0005-0000-0000-00002F020000}"/>
    <cellStyle name="Normal 4 2 9 3 3" xfId="652" xr:uid="{00000000-0005-0000-0000-000030020000}"/>
    <cellStyle name="Normal 4 2 9 3 3 2" xfId="1529" xr:uid="{00000000-0005-0000-0000-000031020000}"/>
    <cellStyle name="Normal 4 2 9 3 4" xfId="871" xr:uid="{00000000-0005-0000-0000-000032020000}"/>
    <cellStyle name="Normal 4 2 9 3 4 2" xfId="1748" xr:uid="{00000000-0005-0000-0000-000033020000}"/>
    <cellStyle name="Normal 4 2 9 3 5" xfId="1091" xr:uid="{00000000-0005-0000-0000-000034020000}"/>
    <cellStyle name="Normal 4 2 9 4" xfId="287" xr:uid="{00000000-0005-0000-0000-000035020000}"/>
    <cellStyle name="Normal 4 2 9 4 2" xfId="1164" xr:uid="{00000000-0005-0000-0000-000036020000}"/>
    <cellStyle name="Normal 4 2 9 5" xfId="506" xr:uid="{00000000-0005-0000-0000-000037020000}"/>
    <cellStyle name="Normal 4 2 9 5 2" xfId="1383" xr:uid="{00000000-0005-0000-0000-000038020000}"/>
    <cellStyle name="Normal 4 2 9 6" xfId="725" xr:uid="{00000000-0005-0000-0000-000039020000}"/>
    <cellStyle name="Normal 4 2 9 6 2" xfId="1602" xr:uid="{00000000-0005-0000-0000-00003A020000}"/>
    <cellStyle name="Normal 4 2 9 7" xfId="944" xr:uid="{00000000-0005-0000-0000-00003B020000}"/>
    <cellStyle name="Normal 4 20" xfId="939" xr:uid="{00000000-0005-0000-0000-00003C020000}"/>
    <cellStyle name="Normal 4 3" xfId="42" xr:uid="{00000000-0005-0000-0000-00003D020000}"/>
    <cellStyle name="Normal 4 3 10" xfId="128" xr:uid="{00000000-0005-0000-0000-00003E020000}"/>
    <cellStyle name="Normal 4 3 10 2" xfId="203" xr:uid="{00000000-0005-0000-0000-00003F020000}"/>
    <cellStyle name="Normal 4 3 10 2 2" xfId="422" xr:uid="{00000000-0005-0000-0000-000040020000}"/>
    <cellStyle name="Normal 4 3 10 2 2 2" xfId="1299" xr:uid="{00000000-0005-0000-0000-000041020000}"/>
    <cellStyle name="Normal 4 3 10 2 3" xfId="641" xr:uid="{00000000-0005-0000-0000-000042020000}"/>
    <cellStyle name="Normal 4 3 10 2 3 2" xfId="1518" xr:uid="{00000000-0005-0000-0000-000043020000}"/>
    <cellStyle name="Normal 4 3 10 2 4" xfId="860" xr:uid="{00000000-0005-0000-0000-000044020000}"/>
    <cellStyle name="Normal 4 3 10 2 4 2" xfId="1737" xr:uid="{00000000-0005-0000-0000-000045020000}"/>
    <cellStyle name="Normal 4 3 10 2 5" xfId="1080" xr:uid="{00000000-0005-0000-0000-000046020000}"/>
    <cellStyle name="Normal 4 3 10 3" xfId="276" xr:uid="{00000000-0005-0000-0000-000047020000}"/>
    <cellStyle name="Normal 4 3 10 3 2" xfId="495" xr:uid="{00000000-0005-0000-0000-000048020000}"/>
    <cellStyle name="Normal 4 3 10 3 2 2" xfId="1372" xr:uid="{00000000-0005-0000-0000-000049020000}"/>
    <cellStyle name="Normal 4 3 10 3 3" xfId="714" xr:uid="{00000000-0005-0000-0000-00004A020000}"/>
    <cellStyle name="Normal 4 3 10 3 3 2" xfId="1591" xr:uid="{00000000-0005-0000-0000-00004B020000}"/>
    <cellStyle name="Normal 4 3 10 3 4" xfId="933" xr:uid="{00000000-0005-0000-0000-00004C020000}"/>
    <cellStyle name="Normal 4 3 10 3 4 2" xfId="1810" xr:uid="{00000000-0005-0000-0000-00004D020000}"/>
    <cellStyle name="Normal 4 3 10 3 5" xfId="1153" xr:uid="{00000000-0005-0000-0000-00004E020000}"/>
    <cellStyle name="Normal 4 3 10 4" xfId="349" xr:uid="{00000000-0005-0000-0000-00004F020000}"/>
    <cellStyle name="Normal 4 3 10 4 2" xfId="1226" xr:uid="{00000000-0005-0000-0000-000050020000}"/>
    <cellStyle name="Normal 4 3 10 5" xfId="568" xr:uid="{00000000-0005-0000-0000-000051020000}"/>
    <cellStyle name="Normal 4 3 10 5 2" xfId="1445" xr:uid="{00000000-0005-0000-0000-000052020000}"/>
    <cellStyle name="Normal 4 3 10 6" xfId="787" xr:uid="{00000000-0005-0000-0000-000053020000}"/>
    <cellStyle name="Normal 4 3 10 6 2" xfId="1664" xr:uid="{00000000-0005-0000-0000-000054020000}"/>
    <cellStyle name="Normal 4 3 10 7" xfId="1007" xr:uid="{00000000-0005-0000-0000-000055020000}"/>
    <cellStyle name="Normal 4 3 11" xfId="132" xr:uid="{00000000-0005-0000-0000-000056020000}"/>
    <cellStyle name="Normal 4 3 11 2" xfId="207" xr:uid="{00000000-0005-0000-0000-000057020000}"/>
    <cellStyle name="Normal 4 3 11 2 2" xfId="426" xr:uid="{00000000-0005-0000-0000-000058020000}"/>
    <cellStyle name="Normal 4 3 11 2 2 2" xfId="1303" xr:uid="{00000000-0005-0000-0000-000059020000}"/>
    <cellStyle name="Normal 4 3 11 2 3" xfId="645" xr:uid="{00000000-0005-0000-0000-00005A020000}"/>
    <cellStyle name="Normal 4 3 11 2 3 2" xfId="1522" xr:uid="{00000000-0005-0000-0000-00005B020000}"/>
    <cellStyle name="Normal 4 3 11 2 4" xfId="864" xr:uid="{00000000-0005-0000-0000-00005C020000}"/>
    <cellStyle name="Normal 4 3 11 2 4 2" xfId="1741" xr:uid="{00000000-0005-0000-0000-00005D020000}"/>
    <cellStyle name="Normal 4 3 11 2 5" xfId="1084" xr:uid="{00000000-0005-0000-0000-00005E020000}"/>
    <cellStyle name="Normal 4 3 11 3" xfId="280" xr:uid="{00000000-0005-0000-0000-00005F020000}"/>
    <cellStyle name="Normal 4 3 11 3 2" xfId="499" xr:uid="{00000000-0005-0000-0000-000060020000}"/>
    <cellStyle name="Normal 4 3 11 3 2 2" xfId="1376" xr:uid="{00000000-0005-0000-0000-000061020000}"/>
    <cellStyle name="Normal 4 3 11 3 3" xfId="718" xr:uid="{00000000-0005-0000-0000-000062020000}"/>
    <cellStyle name="Normal 4 3 11 3 3 2" xfId="1595" xr:uid="{00000000-0005-0000-0000-000063020000}"/>
    <cellStyle name="Normal 4 3 11 3 4" xfId="937" xr:uid="{00000000-0005-0000-0000-000064020000}"/>
    <cellStyle name="Normal 4 3 11 3 4 2" xfId="1814" xr:uid="{00000000-0005-0000-0000-000065020000}"/>
    <cellStyle name="Normal 4 3 11 3 5" xfId="1157" xr:uid="{00000000-0005-0000-0000-000066020000}"/>
    <cellStyle name="Normal 4 3 11 4" xfId="353" xr:uid="{00000000-0005-0000-0000-000067020000}"/>
    <cellStyle name="Normal 4 3 11 4 2" xfId="1230" xr:uid="{00000000-0005-0000-0000-000068020000}"/>
    <cellStyle name="Normal 4 3 11 5" xfId="572" xr:uid="{00000000-0005-0000-0000-000069020000}"/>
    <cellStyle name="Normal 4 3 11 5 2" xfId="1449" xr:uid="{00000000-0005-0000-0000-00006A020000}"/>
    <cellStyle name="Normal 4 3 11 6" xfId="791" xr:uid="{00000000-0005-0000-0000-00006B020000}"/>
    <cellStyle name="Normal 4 3 11 6 2" xfId="1668" xr:uid="{00000000-0005-0000-0000-00006C020000}"/>
    <cellStyle name="Normal 4 3 11 7" xfId="1011" xr:uid="{00000000-0005-0000-0000-00006D020000}"/>
    <cellStyle name="Normal 4 3 12" xfId="136" xr:uid="{00000000-0005-0000-0000-00006E020000}"/>
    <cellStyle name="Normal 4 3 12 2" xfId="357" xr:uid="{00000000-0005-0000-0000-00006F020000}"/>
    <cellStyle name="Normal 4 3 12 2 2" xfId="1234" xr:uid="{00000000-0005-0000-0000-000070020000}"/>
    <cellStyle name="Normal 4 3 12 3" xfId="576" xr:uid="{00000000-0005-0000-0000-000071020000}"/>
    <cellStyle name="Normal 4 3 12 3 2" xfId="1453" xr:uid="{00000000-0005-0000-0000-000072020000}"/>
    <cellStyle name="Normal 4 3 12 4" xfId="795" xr:uid="{00000000-0005-0000-0000-000073020000}"/>
    <cellStyle name="Normal 4 3 12 4 2" xfId="1672" xr:uid="{00000000-0005-0000-0000-000074020000}"/>
    <cellStyle name="Normal 4 3 12 5" xfId="1015" xr:uid="{00000000-0005-0000-0000-000075020000}"/>
    <cellStyle name="Normal 4 3 13" xfId="211" xr:uid="{00000000-0005-0000-0000-000076020000}"/>
    <cellStyle name="Normal 4 3 13 2" xfId="430" xr:uid="{00000000-0005-0000-0000-000077020000}"/>
    <cellStyle name="Normal 4 3 13 2 2" xfId="1307" xr:uid="{00000000-0005-0000-0000-000078020000}"/>
    <cellStyle name="Normal 4 3 13 3" xfId="649" xr:uid="{00000000-0005-0000-0000-000079020000}"/>
    <cellStyle name="Normal 4 3 13 3 2" xfId="1526" xr:uid="{00000000-0005-0000-0000-00007A020000}"/>
    <cellStyle name="Normal 4 3 13 4" xfId="868" xr:uid="{00000000-0005-0000-0000-00007B020000}"/>
    <cellStyle name="Normal 4 3 13 4 2" xfId="1745" xr:uid="{00000000-0005-0000-0000-00007C020000}"/>
    <cellStyle name="Normal 4 3 13 5" xfId="1088" xr:uid="{00000000-0005-0000-0000-00007D020000}"/>
    <cellStyle name="Normal 4 3 14" xfId="284" xr:uid="{00000000-0005-0000-0000-00007E020000}"/>
    <cellStyle name="Normal 4 3 14 2" xfId="1161" xr:uid="{00000000-0005-0000-0000-00007F020000}"/>
    <cellStyle name="Normal 4 3 15" xfId="503" xr:uid="{00000000-0005-0000-0000-000080020000}"/>
    <cellStyle name="Normal 4 3 15 2" xfId="1380" xr:uid="{00000000-0005-0000-0000-000081020000}"/>
    <cellStyle name="Normal 4 3 16" xfId="722" xr:uid="{00000000-0005-0000-0000-000082020000}"/>
    <cellStyle name="Normal 4 3 16 2" xfId="1599" xr:uid="{00000000-0005-0000-0000-000083020000}"/>
    <cellStyle name="Normal 4 3 17" xfId="941" xr:uid="{00000000-0005-0000-0000-000084020000}"/>
    <cellStyle name="Normal 4 3 2" xfId="51" xr:uid="{00000000-0005-0000-0000-000085020000}"/>
    <cellStyle name="Normal 4 3 2 10" xfId="950" xr:uid="{00000000-0005-0000-0000-000086020000}"/>
    <cellStyle name="Normal 4 3 2 2" xfId="75" xr:uid="{00000000-0005-0000-0000-000087020000}"/>
    <cellStyle name="Normal 4 3 2 2 2" xfId="169" xr:uid="{00000000-0005-0000-0000-000088020000}"/>
    <cellStyle name="Normal 4 3 2 2 2 2" xfId="390" xr:uid="{00000000-0005-0000-0000-000089020000}"/>
    <cellStyle name="Normal 4 3 2 2 2 2 2" xfId="1267" xr:uid="{00000000-0005-0000-0000-00008A020000}"/>
    <cellStyle name="Normal 4 3 2 2 2 3" xfId="609" xr:uid="{00000000-0005-0000-0000-00008B020000}"/>
    <cellStyle name="Normal 4 3 2 2 2 3 2" xfId="1486" xr:uid="{00000000-0005-0000-0000-00008C020000}"/>
    <cellStyle name="Normal 4 3 2 2 2 4" xfId="828" xr:uid="{00000000-0005-0000-0000-00008D020000}"/>
    <cellStyle name="Normal 4 3 2 2 2 4 2" xfId="1705" xr:uid="{00000000-0005-0000-0000-00008E020000}"/>
    <cellStyle name="Normal 4 3 2 2 2 5" xfId="1048" xr:uid="{00000000-0005-0000-0000-00008F020000}"/>
    <cellStyle name="Normal 4 3 2 2 3" xfId="244" xr:uid="{00000000-0005-0000-0000-000090020000}"/>
    <cellStyle name="Normal 4 3 2 2 3 2" xfId="463" xr:uid="{00000000-0005-0000-0000-000091020000}"/>
    <cellStyle name="Normal 4 3 2 2 3 2 2" xfId="1340" xr:uid="{00000000-0005-0000-0000-000092020000}"/>
    <cellStyle name="Normal 4 3 2 2 3 3" xfId="682" xr:uid="{00000000-0005-0000-0000-000093020000}"/>
    <cellStyle name="Normal 4 3 2 2 3 3 2" xfId="1559" xr:uid="{00000000-0005-0000-0000-000094020000}"/>
    <cellStyle name="Normal 4 3 2 2 3 4" xfId="901" xr:uid="{00000000-0005-0000-0000-000095020000}"/>
    <cellStyle name="Normal 4 3 2 2 3 4 2" xfId="1778" xr:uid="{00000000-0005-0000-0000-000096020000}"/>
    <cellStyle name="Normal 4 3 2 2 3 5" xfId="1121" xr:uid="{00000000-0005-0000-0000-000097020000}"/>
    <cellStyle name="Normal 4 3 2 2 4" xfId="317" xr:uid="{00000000-0005-0000-0000-000098020000}"/>
    <cellStyle name="Normal 4 3 2 2 4 2" xfId="1194" xr:uid="{00000000-0005-0000-0000-000099020000}"/>
    <cellStyle name="Normal 4 3 2 2 5" xfId="536" xr:uid="{00000000-0005-0000-0000-00009A020000}"/>
    <cellStyle name="Normal 4 3 2 2 5 2" xfId="1413" xr:uid="{00000000-0005-0000-0000-00009B020000}"/>
    <cellStyle name="Normal 4 3 2 2 6" xfId="755" xr:uid="{00000000-0005-0000-0000-00009C020000}"/>
    <cellStyle name="Normal 4 3 2 2 6 2" xfId="1632" xr:uid="{00000000-0005-0000-0000-00009D020000}"/>
    <cellStyle name="Normal 4 3 2 2 7" xfId="974" xr:uid="{00000000-0005-0000-0000-00009E020000}"/>
    <cellStyle name="Normal 4 3 2 3" xfId="107" xr:uid="{00000000-0005-0000-0000-00009F020000}"/>
    <cellStyle name="Normal 4 3 2 3 2" xfId="184" xr:uid="{00000000-0005-0000-0000-0000A0020000}"/>
    <cellStyle name="Normal 4 3 2 3 2 2" xfId="405" xr:uid="{00000000-0005-0000-0000-0000A1020000}"/>
    <cellStyle name="Normal 4 3 2 3 2 2 2" xfId="1282" xr:uid="{00000000-0005-0000-0000-0000A2020000}"/>
    <cellStyle name="Normal 4 3 2 3 2 3" xfId="624" xr:uid="{00000000-0005-0000-0000-0000A3020000}"/>
    <cellStyle name="Normal 4 3 2 3 2 3 2" xfId="1501" xr:uid="{00000000-0005-0000-0000-0000A4020000}"/>
    <cellStyle name="Normal 4 3 2 3 2 4" xfId="843" xr:uid="{00000000-0005-0000-0000-0000A5020000}"/>
    <cellStyle name="Normal 4 3 2 3 2 4 2" xfId="1720" xr:uid="{00000000-0005-0000-0000-0000A6020000}"/>
    <cellStyle name="Normal 4 3 2 3 2 5" xfId="1063" xr:uid="{00000000-0005-0000-0000-0000A7020000}"/>
    <cellStyle name="Normal 4 3 2 3 3" xfId="259" xr:uid="{00000000-0005-0000-0000-0000A8020000}"/>
    <cellStyle name="Normal 4 3 2 3 3 2" xfId="478" xr:uid="{00000000-0005-0000-0000-0000A9020000}"/>
    <cellStyle name="Normal 4 3 2 3 3 2 2" xfId="1355" xr:uid="{00000000-0005-0000-0000-0000AA020000}"/>
    <cellStyle name="Normal 4 3 2 3 3 3" xfId="697" xr:uid="{00000000-0005-0000-0000-0000AB020000}"/>
    <cellStyle name="Normal 4 3 2 3 3 3 2" xfId="1574" xr:uid="{00000000-0005-0000-0000-0000AC020000}"/>
    <cellStyle name="Normal 4 3 2 3 3 4" xfId="916" xr:uid="{00000000-0005-0000-0000-0000AD020000}"/>
    <cellStyle name="Normal 4 3 2 3 3 4 2" xfId="1793" xr:uid="{00000000-0005-0000-0000-0000AE020000}"/>
    <cellStyle name="Normal 4 3 2 3 3 5" xfId="1136" xr:uid="{00000000-0005-0000-0000-0000AF020000}"/>
    <cellStyle name="Normal 4 3 2 3 4" xfId="332" xr:uid="{00000000-0005-0000-0000-0000B0020000}"/>
    <cellStyle name="Normal 4 3 2 3 4 2" xfId="1209" xr:uid="{00000000-0005-0000-0000-0000B1020000}"/>
    <cellStyle name="Normal 4 3 2 3 5" xfId="551" xr:uid="{00000000-0005-0000-0000-0000B2020000}"/>
    <cellStyle name="Normal 4 3 2 3 5 2" xfId="1428" xr:uid="{00000000-0005-0000-0000-0000B3020000}"/>
    <cellStyle name="Normal 4 3 2 3 6" xfId="770" xr:uid="{00000000-0005-0000-0000-0000B4020000}"/>
    <cellStyle name="Normal 4 3 2 3 6 2" xfId="1647" xr:uid="{00000000-0005-0000-0000-0000B5020000}"/>
    <cellStyle name="Normal 4 3 2 3 7" xfId="990" xr:uid="{00000000-0005-0000-0000-0000B6020000}"/>
    <cellStyle name="Normal 4 3 2 4" xfId="67" xr:uid="{00000000-0005-0000-0000-0000B7020000}"/>
    <cellStyle name="Normal 4 3 2 4 2" xfId="161" xr:uid="{00000000-0005-0000-0000-0000B8020000}"/>
    <cellStyle name="Normal 4 3 2 4 2 2" xfId="382" xr:uid="{00000000-0005-0000-0000-0000B9020000}"/>
    <cellStyle name="Normal 4 3 2 4 2 2 2" xfId="1259" xr:uid="{00000000-0005-0000-0000-0000BA020000}"/>
    <cellStyle name="Normal 4 3 2 4 2 3" xfId="601" xr:uid="{00000000-0005-0000-0000-0000BB020000}"/>
    <cellStyle name="Normal 4 3 2 4 2 3 2" xfId="1478" xr:uid="{00000000-0005-0000-0000-0000BC020000}"/>
    <cellStyle name="Normal 4 3 2 4 2 4" xfId="820" xr:uid="{00000000-0005-0000-0000-0000BD020000}"/>
    <cellStyle name="Normal 4 3 2 4 2 4 2" xfId="1697" xr:uid="{00000000-0005-0000-0000-0000BE020000}"/>
    <cellStyle name="Normal 4 3 2 4 2 5" xfId="1040" xr:uid="{00000000-0005-0000-0000-0000BF020000}"/>
    <cellStyle name="Normal 4 3 2 4 3" xfId="236" xr:uid="{00000000-0005-0000-0000-0000C0020000}"/>
    <cellStyle name="Normal 4 3 2 4 3 2" xfId="455" xr:uid="{00000000-0005-0000-0000-0000C1020000}"/>
    <cellStyle name="Normal 4 3 2 4 3 2 2" xfId="1332" xr:uid="{00000000-0005-0000-0000-0000C2020000}"/>
    <cellStyle name="Normal 4 3 2 4 3 3" xfId="674" xr:uid="{00000000-0005-0000-0000-0000C3020000}"/>
    <cellStyle name="Normal 4 3 2 4 3 3 2" xfId="1551" xr:uid="{00000000-0005-0000-0000-0000C4020000}"/>
    <cellStyle name="Normal 4 3 2 4 3 4" xfId="893" xr:uid="{00000000-0005-0000-0000-0000C5020000}"/>
    <cellStyle name="Normal 4 3 2 4 3 4 2" xfId="1770" xr:uid="{00000000-0005-0000-0000-0000C6020000}"/>
    <cellStyle name="Normal 4 3 2 4 3 5" xfId="1113" xr:uid="{00000000-0005-0000-0000-0000C7020000}"/>
    <cellStyle name="Normal 4 3 2 4 4" xfId="309" xr:uid="{00000000-0005-0000-0000-0000C8020000}"/>
    <cellStyle name="Normal 4 3 2 4 4 2" xfId="1186" xr:uid="{00000000-0005-0000-0000-0000C9020000}"/>
    <cellStyle name="Normal 4 3 2 4 5" xfId="528" xr:uid="{00000000-0005-0000-0000-0000CA020000}"/>
    <cellStyle name="Normal 4 3 2 4 5 2" xfId="1405" xr:uid="{00000000-0005-0000-0000-0000CB020000}"/>
    <cellStyle name="Normal 4 3 2 4 6" xfId="747" xr:uid="{00000000-0005-0000-0000-0000CC020000}"/>
    <cellStyle name="Normal 4 3 2 4 6 2" xfId="1624" xr:uid="{00000000-0005-0000-0000-0000CD020000}"/>
    <cellStyle name="Normal 4 3 2 4 7" xfId="966" xr:uid="{00000000-0005-0000-0000-0000CE020000}"/>
    <cellStyle name="Normal 4 3 2 5" xfId="145" xr:uid="{00000000-0005-0000-0000-0000CF020000}"/>
    <cellStyle name="Normal 4 3 2 5 2" xfId="366" xr:uid="{00000000-0005-0000-0000-0000D0020000}"/>
    <cellStyle name="Normal 4 3 2 5 2 2" xfId="1243" xr:uid="{00000000-0005-0000-0000-0000D1020000}"/>
    <cellStyle name="Normal 4 3 2 5 3" xfId="585" xr:uid="{00000000-0005-0000-0000-0000D2020000}"/>
    <cellStyle name="Normal 4 3 2 5 3 2" xfId="1462" xr:uid="{00000000-0005-0000-0000-0000D3020000}"/>
    <cellStyle name="Normal 4 3 2 5 4" xfId="804" xr:uid="{00000000-0005-0000-0000-0000D4020000}"/>
    <cellStyle name="Normal 4 3 2 5 4 2" xfId="1681" xr:uid="{00000000-0005-0000-0000-0000D5020000}"/>
    <cellStyle name="Normal 4 3 2 5 5" xfId="1024" xr:uid="{00000000-0005-0000-0000-0000D6020000}"/>
    <cellStyle name="Normal 4 3 2 6" xfId="220" xr:uid="{00000000-0005-0000-0000-0000D7020000}"/>
    <cellStyle name="Normal 4 3 2 6 2" xfId="439" xr:uid="{00000000-0005-0000-0000-0000D8020000}"/>
    <cellStyle name="Normal 4 3 2 6 2 2" xfId="1316" xr:uid="{00000000-0005-0000-0000-0000D9020000}"/>
    <cellStyle name="Normal 4 3 2 6 3" xfId="658" xr:uid="{00000000-0005-0000-0000-0000DA020000}"/>
    <cellStyle name="Normal 4 3 2 6 3 2" xfId="1535" xr:uid="{00000000-0005-0000-0000-0000DB020000}"/>
    <cellStyle name="Normal 4 3 2 6 4" xfId="877" xr:uid="{00000000-0005-0000-0000-0000DC020000}"/>
    <cellStyle name="Normal 4 3 2 6 4 2" xfId="1754" xr:uid="{00000000-0005-0000-0000-0000DD020000}"/>
    <cellStyle name="Normal 4 3 2 6 5" xfId="1097" xr:uid="{00000000-0005-0000-0000-0000DE020000}"/>
    <cellStyle name="Normal 4 3 2 7" xfId="293" xr:uid="{00000000-0005-0000-0000-0000DF020000}"/>
    <cellStyle name="Normal 4 3 2 7 2" xfId="1170" xr:uid="{00000000-0005-0000-0000-0000E0020000}"/>
    <cellStyle name="Normal 4 3 2 8" xfId="512" xr:uid="{00000000-0005-0000-0000-0000E1020000}"/>
    <cellStyle name="Normal 4 3 2 8 2" xfId="1389" xr:uid="{00000000-0005-0000-0000-0000E2020000}"/>
    <cellStyle name="Normal 4 3 2 9" xfId="731" xr:uid="{00000000-0005-0000-0000-0000E3020000}"/>
    <cellStyle name="Normal 4 3 2 9 2" xfId="1608" xr:uid="{00000000-0005-0000-0000-0000E4020000}"/>
    <cellStyle name="Normal 4 3 3" xfId="55" xr:uid="{00000000-0005-0000-0000-0000E5020000}"/>
    <cellStyle name="Normal 4 3 3 2" xfId="112" xr:uid="{00000000-0005-0000-0000-0000E6020000}"/>
    <cellStyle name="Normal 4 3 3 2 2" xfId="189" xr:uid="{00000000-0005-0000-0000-0000E7020000}"/>
    <cellStyle name="Normal 4 3 3 2 2 2" xfId="410" xr:uid="{00000000-0005-0000-0000-0000E8020000}"/>
    <cellStyle name="Normal 4 3 3 2 2 2 2" xfId="1287" xr:uid="{00000000-0005-0000-0000-0000E9020000}"/>
    <cellStyle name="Normal 4 3 3 2 2 3" xfId="629" xr:uid="{00000000-0005-0000-0000-0000EA020000}"/>
    <cellStyle name="Normal 4 3 3 2 2 3 2" xfId="1506" xr:uid="{00000000-0005-0000-0000-0000EB020000}"/>
    <cellStyle name="Normal 4 3 3 2 2 4" xfId="848" xr:uid="{00000000-0005-0000-0000-0000EC020000}"/>
    <cellStyle name="Normal 4 3 3 2 2 4 2" xfId="1725" xr:uid="{00000000-0005-0000-0000-0000ED020000}"/>
    <cellStyle name="Normal 4 3 3 2 2 5" xfId="1068" xr:uid="{00000000-0005-0000-0000-0000EE020000}"/>
    <cellStyle name="Normal 4 3 3 2 3" xfId="264" xr:uid="{00000000-0005-0000-0000-0000EF020000}"/>
    <cellStyle name="Normal 4 3 3 2 3 2" xfId="483" xr:uid="{00000000-0005-0000-0000-0000F0020000}"/>
    <cellStyle name="Normal 4 3 3 2 3 2 2" xfId="1360" xr:uid="{00000000-0005-0000-0000-0000F1020000}"/>
    <cellStyle name="Normal 4 3 3 2 3 3" xfId="702" xr:uid="{00000000-0005-0000-0000-0000F2020000}"/>
    <cellStyle name="Normal 4 3 3 2 3 3 2" xfId="1579" xr:uid="{00000000-0005-0000-0000-0000F3020000}"/>
    <cellStyle name="Normal 4 3 3 2 3 4" xfId="921" xr:uid="{00000000-0005-0000-0000-0000F4020000}"/>
    <cellStyle name="Normal 4 3 3 2 3 4 2" xfId="1798" xr:uid="{00000000-0005-0000-0000-0000F5020000}"/>
    <cellStyle name="Normal 4 3 3 2 3 5" xfId="1141" xr:uid="{00000000-0005-0000-0000-0000F6020000}"/>
    <cellStyle name="Normal 4 3 3 2 4" xfId="337" xr:uid="{00000000-0005-0000-0000-0000F7020000}"/>
    <cellStyle name="Normal 4 3 3 2 4 2" xfId="1214" xr:uid="{00000000-0005-0000-0000-0000F8020000}"/>
    <cellStyle name="Normal 4 3 3 2 5" xfId="556" xr:uid="{00000000-0005-0000-0000-0000F9020000}"/>
    <cellStyle name="Normal 4 3 3 2 5 2" xfId="1433" xr:uid="{00000000-0005-0000-0000-0000FA020000}"/>
    <cellStyle name="Normal 4 3 3 2 6" xfId="775" xr:uid="{00000000-0005-0000-0000-0000FB020000}"/>
    <cellStyle name="Normal 4 3 3 2 6 2" xfId="1652" xr:uid="{00000000-0005-0000-0000-0000FC020000}"/>
    <cellStyle name="Normal 4 3 3 2 7" xfId="995" xr:uid="{00000000-0005-0000-0000-0000FD020000}"/>
    <cellStyle name="Normal 4 3 3 3" xfId="86" xr:uid="{00000000-0005-0000-0000-0000FE020000}"/>
    <cellStyle name="Normal 4 3 3 3 2" xfId="174" xr:uid="{00000000-0005-0000-0000-0000FF020000}"/>
    <cellStyle name="Normal 4 3 3 3 2 2" xfId="395" xr:uid="{00000000-0005-0000-0000-000000030000}"/>
    <cellStyle name="Normal 4 3 3 3 2 2 2" xfId="1272" xr:uid="{00000000-0005-0000-0000-000001030000}"/>
    <cellStyle name="Normal 4 3 3 3 2 3" xfId="614" xr:uid="{00000000-0005-0000-0000-000002030000}"/>
    <cellStyle name="Normal 4 3 3 3 2 3 2" xfId="1491" xr:uid="{00000000-0005-0000-0000-000003030000}"/>
    <cellStyle name="Normal 4 3 3 3 2 4" xfId="833" xr:uid="{00000000-0005-0000-0000-000004030000}"/>
    <cellStyle name="Normal 4 3 3 3 2 4 2" xfId="1710" xr:uid="{00000000-0005-0000-0000-000005030000}"/>
    <cellStyle name="Normal 4 3 3 3 2 5" xfId="1053" xr:uid="{00000000-0005-0000-0000-000006030000}"/>
    <cellStyle name="Normal 4 3 3 3 3" xfId="249" xr:uid="{00000000-0005-0000-0000-000007030000}"/>
    <cellStyle name="Normal 4 3 3 3 3 2" xfId="468" xr:uid="{00000000-0005-0000-0000-000008030000}"/>
    <cellStyle name="Normal 4 3 3 3 3 2 2" xfId="1345" xr:uid="{00000000-0005-0000-0000-000009030000}"/>
    <cellStyle name="Normal 4 3 3 3 3 3" xfId="687" xr:uid="{00000000-0005-0000-0000-00000A030000}"/>
    <cellStyle name="Normal 4 3 3 3 3 3 2" xfId="1564" xr:uid="{00000000-0005-0000-0000-00000B030000}"/>
    <cellStyle name="Normal 4 3 3 3 3 4" xfId="906" xr:uid="{00000000-0005-0000-0000-00000C030000}"/>
    <cellStyle name="Normal 4 3 3 3 3 4 2" xfId="1783" xr:uid="{00000000-0005-0000-0000-00000D030000}"/>
    <cellStyle name="Normal 4 3 3 3 3 5" xfId="1126" xr:uid="{00000000-0005-0000-0000-00000E030000}"/>
    <cellStyle name="Normal 4 3 3 3 4" xfId="322" xr:uid="{00000000-0005-0000-0000-00000F030000}"/>
    <cellStyle name="Normal 4 3 3 3 4 2" xfId="1199" xr:uid="{00000000-0005-0000-0000-000010030000}"/>
    <cellStyle name="Normal 4 3 3 3 5" xfId="541" xr:uid="{00000000-0005-0000-0000-000011030000}"/>
    <cellStyle name="Normal 4 3 3 3 5 2" xfId="1418" xr:uid="{00000000-0005-0000-0000-000012030000}"/>
    <cellStyle name="Normal 4 3 3 3 6" xfId="760" xr:uid="{00000000-0005-0000-0000-000013030000}"/>
    <cellStyle name="Normal 4 3 3 3 6 2" xfId="1637" xr:uid="{00000000-0005-0000-0000-000014030000}"/>
    <cellStyle name="Normal 4 3 3 3 7" xfId="979" xr:uid="{00000000-0005-0000-0000-000015030000}"/>
    <cellStyle name="Normal 4 3 3 4" xfId="149" xr:uid="{00000000-0005-0000-0000-000016030000}"/>
    <cellStyle name="Normal 4 3 3 4 2" xfId="370" xr:uid="{00000000-0005-0000-0000-000017030000}"/>
    <cellStyle name="Normal 4 3 3 4 2 2" xfId="1247" xr:uid="{00000000-0005-0000-0000-000018030000}"/>
    <cellStyle name="Normal 4 3 3 4 3" xfId="589" xr:uid="{00000000-0005-0000-0000-000019030000}"/>
    <cellStyle name="Normal 4 3 3 4 3 2" xfId="1466" xr:uid="{00000000-0005-0000-0000-00001A030000}"/>
    <cellStyle name="Normal 4 3 3 4 4" xfId="808" xr:uid="{00000000-0005-0000-0000-00001B030000}"/>
    <cellStyle name="Normal 4 3 3 4 4 2" xfId="1685" xr:uid="{00000000-0005-0000-0000-00001C030000}"/>
    <cellStyle name="Normal 4 3 3 4 5" xfId="1028" xr:uid="{00000000-0005-0000-0000-00001D030000}"/>
    <cellStyle name="Normal 4 3 3 5" xfId="224" xr:uid="{00000000-0005-0000-0000-00001E030000}"/>
    <cellStyle name="Normal 4 3 3 5 2" xfId="443" xr:uid="{00000000-0005-0000-0000-00001F030000}"/>
    <cellStyle name="Normal 4 3 3 5 2 2" xfId="1320" xr:uid="{00000000-0005-0000-0000-000020030000}"/>
    <cellStyle name="Normal 4 3 3 5 3" xfId="662" xr:uid="{00000000-0005-0000-0000-000021030000}"/>
    <cellStyle name="Normal 4 3 3 5 3 2" xfId="1539" xr:uid="{00000000-0005-0000-0000-000022030000}"/>
    <cellStyle name="Normal 4 3 3 5 4" xfId="881" xr:uid="{00000000-0005-0000-0000-000023030000}"/>
    <cellStyle name="Normal 4 3 3 5 4 2" xfId="1758" xr:uid="{00000000-0005-0000-0000-000024030000}"/>
    <cellStyle name="Normal 4 3 3 5 5" xfId="1101" xr:uid="{00000000-0005-0000-0000-000025030000}"/>
    <cellStyle name="Normal 4 3 3 6" xfId="297" xr:uid="{00000000-0005-0000-0000-000026030000}"/>
    <cellStyle name="Normal 4 3 3 6 2" xfId="1174" xr:uid="{00000000-0005-0000-0000-000027030000}"/>
    <cellStyle name="Normal 4 3 3 7" xfId="516" xr:uid="{00000000-0005-0000-0000-000028030000}"/>
    <cellStyle name="Normal 4 3 3 7 2" xfId="1393" xr:uid="{00000000-0005-0000-0000-000029030000}"/>
    <cellStyle name="Normal 4 3 3 8" xfId="735" xr:uid="{00000000-0005-0000-0000-00002A030000}"/>
    <cellStyle name="Normal 4 3 3 8 2" xfId="1612" xr:uid="{00000000-0005-0000-0000-00002B030000}"/>
    <cellStyle name="Normal 4 3 3 9" xfId="954" xr:uid="{00000000-0005-0000-0000-00002C030000}"/>
    <cellStyle name="Normal 4 3 4" xfId="71" xr:uid="{00000000-0005-0000-0000-00002D030000}"/>
    <cellStyle name="Normal 4 3 4 2" xfId="165" xr:uid="{00000000-0005-0000-0000-00002E030000}"/>
    <cellStyle name="Normal 4 3 4 2 2" xfId="386" xr:uid="{00000000-0005-0000-0000-00002F030000}"/>
    <cellStyle name="Normal 4 3 4 2 2 2" xfId="1263" xr:uid="{00000000-0005-0000-0000-000030030000}"/>
    <cellStyle name="Normal 4 3 4 2 3" xfId="605" xr:uid="{00000000-0005-0000-0000-000031030000}"/>
    <cellStyle name="Normal 4 3 4 2 3 2" xfId="1482" xr:uid="{00000000-0005-0000-0000-000032030000}"/>
    <cellStyle name="Normal 4 3 4 2 4" xfId="824" xr:uid="{00000000-0005-0000-0000-000033030000}"/>
    <cellStyle name="Normal 4 3 4 2 4 2" xfId="1701" xr:uid="{00000000-0005-0000-0000-000034030000}"/>
    <cellStyle name="Normal 4 3 4 2 5" xfId="1044" xr:uid="{00000000-0005-0000-0000-000035030000}"/>
    <cellStyle name="Normal 4 3 4 3" xfId="240" xr:uid="{00000000-0005-0000-0000-000036030000}"/>
    <cellStyle name="Normal 4 3 4 3 2" xfId="459" xr:uid="{00000000-0005-0000-0000-000037030000}"/>
    <cellStyle name="Normal 4 3 4 3 2 2" xfId="1336" xr:uid="{00000000-0005-0000-0000-000038030000}"/>
    <cellStyle name="Normal 4 3 4 3 3" xfId="678" xr:uid="{00000000-0005-0000-0000-000039030000}"/>
    <cellStyle name="Normal 4 3 4 3 3 2" xfId="1555" xr:uid="{00000000-0005-0000-0000-00003A030000}"/>
    <cellStyle name="Normal 4 3 4 3 4" xfId="897" xr:uid="{00000000-0005-0000-0000-00003B030000}"/>
    <cellStyle name="Normal 4 3 4 3 4 2" xfId="1774" xr:uid="{00000000-0005-0000-0000-00003C030000}"/>
    <cellStyle name="Normal 4 3 4 3 5" xfId="1117" xr:uid="{00000000-0005-0000-0000-00003D030000}"/>
    <cellStyle name="Normal 4 3 4 4" xfId="313" xr:uid="{00000000-0005-0000-0000-00003E030000}"/>
    <cellStyle name="Normal 4 3 4 4 2" xfId="1190" xr:uid="{00000000-0005-0000-0000-00003F030000}"/>
    <cellStyle name="Normal 4 3 4 5" xfId="532" xr:uid="{00000000-0005-0000-0000-000040030000}"/>
    <cellStyle name="Normal 4 3 4 5 2" xfId="1409" xr:uid="{00000000-0005-0000-0000-000041030000}"/>
    <cellStyle name="Normal 4 3 4 6" xfId="751" xr:uid="{00000000-0005-0000-0000-000042030000}"/>
    <cellStyle name="Normal 4 3 4 6 2" xfId="1628" xr:uid="{00000000-0005-0000-0000-000043030000}"/>
    <cellStyle name="Normal 4 3 4 7" xfId="970" xr:uid="{00000000-0005-0000-0000-000044030000}"/>
    <cellStyle name="Normal 4 3 5" xfId="63" xr:uid="{00000000-0005-0000-0000-000045030000}"/>
    <cellStyle name="Normal 4 3 5 2" xfId="157" xr:uid="{00000000-0005-0000-0000-000046030000}"/>
    <cellStyle name="Normal 4 3 5 2 2" xfId="378" xr:uid="{00000000-0005-0000-0000-000047030000}"/>
    <cellStyle name="Normal 4 3 5 2 2 2" xfId="1255" xr:uid="{00000000-0005-0000-0000-000048030000}"/>
    <cellStyle name="Normal 4 3 5 2 3" xfId="597" xr:uid="{00000000-0005-0000-0000-000049030000}"/>
    <cellStyle name="Normal 4 3 5 2 3 2" xfId="1474" xr:uid="{00000000-0005-0000-0000-00004A030000}"/>
    <cellStyle name="Normal 4 3 5 2 4" xfId="816" xr:uid="{00000000-0005-0000-0000-00004B030000}"/>
    <cellStyle name="Normal 4 3 5 2 4 2" xfId="1693" xr:uid="{00000000-0005-0000-0000-00004C030000}"/>
    <cellStyle name="Normal 4 3 5 2 5" xfId="1036" xr:uid="{00000000-0005-0000-0000-00004D030000}"/>
    <cellStyle name="Normal 4 3 5 3" xfId="232" xr:uid="{00000000-0005-0000-0000-00004E030000}"/>
    <cellStyle name="Normal 4 3 5 3 2" xfId="451" xr:uid="{00000000-0005-0000-0000-00004F030000}"/>
    <cellStyle name="Normal 4 3 5 3 2 2" xfId="1328" xr:uid="{00000000-0005-0000-0000-000050030000}"/>
    <cellStyle name="Normal 4 3 5 3 3" xfId="670" xr:uid="{00000000-0005-0000-0000-000051030000}"/>
    <cellStyle name="Normal 4 3 5 3 3 2" xfId="1547" xr:uid="{00000000-0005-0000-0000-000052030000}"/>
    <cellStyle name="Normal 4 3 5 3 4" xfId="889" xr:uid="{00000000-0005-0000-0000-000053030000}"/>
    <cellStyle name="Normal 4 3 5 3 4 2" xfId="1766" xr:uid="{00000000-0005-0000-0000-000054030000}"/>
    <cellStyle name="Normal 4 3 5 3 5" xfId="1109" xr:uid="{00000000-0005-0000-0000-000055030000}"/>
    <cellStyle name="Normal 4 3 5 4" xfId="305" xr:uid="{00000000-0005-0000-0000-000056030000}"/>
    <cellStyle name="Normal 4 3 5 4 2" xfId="1182" xr:uid="{00000000-0005-0000-0000-000057030000}"/>
    <cellStyle name="Normal 4 3 5 5" xfId="524" xr:uid="{00000000-0005-0000-0000-000058030000}"/>
    <cellStyle name="Normal 4 3 5 5 2" xfId="1401" xr:uid="{00000000-0005-0000-0000-000059030000}"/>
    <cellStyle name="Normal 4 3 5 6" xfId="743" xr:uid="{00000000-0005-0000-0000-00005A030000}"/>
    <cellStyle name="Normal 4 3 5 6 2" xfId="1620" xr:uid="{00000000-0005-0000-0000-00005B030000}"/>
    <cellStyle name="Normal 4 3 5 7" xfId="962" xr:uid="{00000000-0005-0000-0000-00005C030000}"/>
    <cellStyle name="Normal 4 3 6" xfId="103" xr:uid="{00000000-0005-0000-0000-00005D030000}"/>
    <cellStyle name="Normal 4 3 6 2" xfId="180" xr:uid="{00000000-0005-0000-0000-00005E030000}"/>
    <cellStyle name="Normal 4 3 6 2 2" xfId="401" xr:uid="{00000000-0005-0000-0000-00005F030000}"/>
    <cellStyle name="Normal 4 3 6 2 2 2" xfId="1278" xr:uid="{00000000-0005-0000-0000-000060030000}"/>
    <cellStyle name="Normal 4 3 6 2 3" xfId="620" xr:uid="{00000000-0005-0000-0000-000061030000}"/>
    <cellStyle name="Normal 4 3 6 2 3 2" xfId="1497" xr:uid="{00000000-0005-0000-0000-000062030000}"/>
    <cellStyle name="Normal 4 3 6 2 4" xfId="839" xr:uid="{00000000-0005-0000-0000-000063030000}"/>
    <cellStyle name="Normal 4 3 6 2 4 2" xfId="1716" xr:uid="{00000000-0005-0000-0000-000064030000}"/>
    <cellStyle name="Normal 4 3 6 2 5" xfId="1059" xr:uid="{00000000-0005-0000-0000-000065030000}"/>
    <cellStyle name="Normal 4 3 6 3" xfId="255" xr:uid="{00000000-0005-0000-0000-000066030000}"/>
    <cellStyle name="Normal 4 3 6 3 2" xfId="474" xr:uid="{00000000-0005-0000-0000-000067030000}"/>
    <cellStyle name="Normal 4 3 6 3 2 2" xfId="1351" xr:uid="{00000000-0005-0000-0000-000068030000}"/>
    <cellStyle name="Normal 4 3 6 3 3" xfId="693" xr:uid="{00000000-0005-0000-0000-000069030000}"/>
    <cellStyle name="Normal 4 3 6 3 3 2" xfId="1570" xr:uid="{00000000-0005-0000-0000-00006A030000}"/>
    <cellStyle name="Normal 4 3 6 3 4" xfId="912" xr:uid="{00000000-0005-0000-0000-00006B030000}"/>
    <cellStyle name="Normal 4 3 6 3 4 2" xfId="1789" xr:uid="{00000000-0005-0000-0000-00006C030000}"/>
    <cellStyle name="Normal 4 3 6 3 5" xfId="1132" xr:uid="{00000000-0005-0000-0000-00006D030000}"/>
    <cellStyle name="Normal 4 3 6 4" xfId="328" xr:uid="{00000000-0005-0000-0000-00006E030000}"/>
    <cellStyle name="Normal 4 3 6 4 2" xfId="1205" xr:uid="{00000000-0005-0000-0000-00006F030000}"/>
    <cellStyle name="Normal 4 3 6 5" xfId="547" xr:uid="{00000000-0005-0000-0000-000070030000}"/>
    <cellStyle name="Normal 4 3 6 5 2" xfId="1424" xr:uid="{00000000-0005-0000-0000-000071030000}"/>
    <cellStyle name="Normal 4 3 6 6" xfId="766" xr:uid="{00000000-0005-0000-0000-000072030000}"/>
    <cellStyle name="Normal 4 3 6 6 2" xfId="1643" xr:uid="{00000000-0005-0000-0000-000073030000}"/>
    <cellStyle name="Normal 4 3 6 7" xfId="986" xr:uid="{00000000-0005-0000-0000-000074030000}"/>
    <cellStyle name="Normal 4 3 7" xfId="59" xr:uid="{00000000-0005-0000-0000-000075030000}"/>
    <cellStyle name="Normal 4 3 7 2" xfId="153" xr:uid="{00000000-0005-0000-0000-000076030000}"/>
    <cellStyle name="Normal 4 3 7 2 2" xfId="374" xr:uid="{00000000-0005-0000-0000-000077030000}"/>
    <cellStyle name="Normal 4 3 7 2 2 2" xfId="1251" xr:uid="{00000000-0005-0000-0000-000078030000}"/>
    <cellStyle name="Normal 4 3 7 2 3" xfId="593" xr:uid="{00000000-0005-0000-0000-000079030000}"/>
    <cellStyle name="Normal 4 3 7 2 3 2" xfId="1470" xr:uid="{00000000-0005-0000-0000-00007A030000}"/>
    <cellStyle name="Normal 4 3 7 2 4" xfId="812" xr:uid="{00000000-0005-0000-0000-00007B030000}"/>
    <cellStyle name="Normal 4 3 7 2 4 2" xfId="1689" xr:uid="{00000000-0005-0000-0000-00007C030000}"/>
    <cellStyle name="Normal 4 3 7 2 5" xfId="1032" xr:uid="{00000000-0005-0000-0000-00007D030000}"/>
    <cellStyle name="Normal 4 3 7 3" xfId="228" xr:uid="{00000000-0005-0000-0000-00007E030000}"/>
    <cellStyle name="Normal 4 3 7 3 2" xfId="447" xr:uid="{00000000-0005-0000-0000-00007F030000}"/>
    <cellStyle name="Normal 4 3 7 3 2 2" xfId="1324" xr:uid="{00000000-0005-0000-0000-000080030000}"/>
    <cellStyle name="Normal 4 3 7 3 3" xfId="666" xr:uid="{00000000-0005-0000-0000-000081030000}"/>
    <cellStyle name="Normal 4 3 7 3 3 2" xfId="1543" xr:uid="{00000000-0005-0000-0000-000082030000}"/>
    <cellStyle name="Normal 4 3 7 3 4" xfId="885" xr:uid="{00000000-0005-0000-0000-000083030000}"/>
    <cellStyle name="Normal 4 3 7 3 4 2" xfId="1762" xr:uid="{00000000-0005-0000-0000-000084030000}"/>
    <cellStyle name="Normal 4 3 7 3 5" xfId="1105" xr:uid="{00000000-0005-0000-0000-000085030000}"/>
    <cellStyle name="Normal 4 3 7 4" xfId="301" xr:uid="{00000000-0005-0000-0000-000086030000}"/>
    <cellStyle name="Normal 4 3 7 4 2" xfId="1178" xr:uid="{00000000-0005-0000-0000-000087030000}"/>
    <cellStyle name="Normal 4 3 7 5" xfId="520" xr:uid="{00000000-0005-0000-0000-000088030000}"/>
    <cellStyle name="Normal 4 3 7 5 2" xfId="1397" xr:uid="{00000000-0005-0000-0000-000089030000}"/>
    <cellStyle name="Normal 4 3 7 6" xfId="739" xr:uid="{00000000-0005-0000-0000-00008A030000}"/>
    <cellStyle name="Normal 4 3 7 6 2" xfId="1616" xr:uid="{00000000-0005-0000-0000-00008B030000}"/>
    <cellStyle name="Normal 4 3 7 7" xfId="958" xr:uid="{00000000-0005-0000-0000-00008C030000}"/>
    <cellStyle name="Normal 4 3 8" xfId="118" xr:uid="{00000000-0005-0000-0000-00008D030000}"/>
    <cellStyle name="Normal 4 3 8 2" xfId="195" xr:uid="{00000000-0005-0000-0000-00008E030000}"/>
    <cellStyle name="Normal 4 3 8 2 2" xfId="416" xr:uid="{00000000-0005-0000-0000-00008F030000}"/>
    <cellStyle name="Normal 4 3 8 2 2 2" xfId="1293" xr:uid="{00000000-0005-0000-0000-000090030000}"/>
    <cellStyle name="Normal 4 3 8 2 3" xfId="635" xr:uid="{00000000-0005-0000-0000-000091030000}"/>
    <cellStyle name="Normal 4 3 8 2 3 2" xfId="1512" xr:uid="{00000000-0005-0000-0000-000092030000}"/>
    <cellStyle name="Normal 4 3 8 2 4" xfId="854" xr:uid="{00000000-0005-0000-0000-000093030000}"/>
    <cellStyle name="Normal 4 3 8 2 4 2" xfId="1731" xr:uid="{00000000-0005-0000-0000-000094030000}"/>
    <cellStyle name="Normal 4 3 8 2 5" xfId="1074" xr:uid="{00000000-0005-0000-0000-000095030000}"/>
    <cellStyle name="Normal 4 3 8 3" xfId="270" xr:uid="{00000000-0005-0000-0000-000096030000}"/>
    <cellStyle name="Normal 4 3 8 3 2" xfId="489" xr:uid="{00000000-0005-0000-0000-000097030000}"/>
    <cellStyle name="Normal 4 3 8 3 2 2" xfId="1366" xr:uid="{00000000-0005-0000-0000-000098030000}"/>
    <cellStyle name="Normal 4 3 8 3 3" xfId="708" xr:uid="{00000000-0005-0000-0000-000099030000}"/>
    <cellStyle name="Normal 4 3 8 3 3 2" xfId="1585" xr:uid="{00000000-0005-0000-0000-00009A030000}"/>
    <cellStyle name="Normal 4 3 8 3 4" xfId="927" xr:uid="{00000000-0005-0000-0000-00009B030000}"/>
    <cellStyle name="Normal 4 3 8 3 4 2" xfId="1804" xr:uid="{00000000-0005-0000-0000-00009C030000}"/>
    <cellStyle name="Normal 4 3 8 3 5" xfId="1147" xr:uid="{00000000-0005-0000-0000-00009D030000}"/>
    <cellStyle name="Normal 4 3 8 4" xfId="343" xr:uid="{00000000-0005-0000-0000-00009E030000}"/>
    <cellStyle name="Normal 4 3 8 4 2" xfId="1220" xr:uid="{00000000-0005-0000-0000-00009F030000}"/>
    <cellStyle name="Normal 4 3 8 5" xfId="562" xr:uid="{00000000-0005-0000-0000-0000A0030000}"/>
    <cellStyle name="Normal 4 3 8 5 2" xfId="1439" xr:uid="{00000000-0005-0000-0000-0000A1030000}"/>
    <cellStyle name="Normal 4 3 8 6" xfId="781" xr:uid="{00000000-0005-0000-0000-0000A2030000}"/>
    <cellStyle name="Normal 4 3 8 6 2" xfId="1658" xr:uid="{00000000-0005-0000-0000-0000A3030000}"/>
    <cellStyle name="Normal 4 3 8 7" xfId="1001" xr:uid="{00000000-0005-0000-0000-0000A4030000}"/>
    <cellStyle name="Normal 4 3 9" xfId="46" xr:uid="{00000000-0005-0000-0000-0000A5030000}"/>
    <cellStyle name="Normal 4 3 9 2" xfId="140" xr:uid="{00000000-0005-0000-0000-0000A6030000}"/>
    <cellStyle name="Normal 4 3 9 2 2" xfId="361" xr:uid="{00000000-0005-0000-0000-0000A7030000}"/>
    <cellStyle name="Normal 4 3 9 2 2 2" xfId="1238" xr:uid="{00000000-0005-0000-0000-0000A8030000}"/>
    <cellStyle name="Normal 4 3 9 2 3" xfId="580" xr:uid="{00000000-0005-0000-0000-0000A9030000}"/>
    <cellStyle name="Normal 4 3 9 2 3 2" xfId="1457" xr:uid="{00000000-0005-0000-0000-0000AA030000}"/>
    <cellStyle name="Normal 4 3 9 2 4" xfId="799" xr:uid="{00000000-0005-0000-0000-0000AB030000}"/>
    <cellStyle name="Normal 4 3 9 2 4 2" xfId="1676" xr:uid="{00000000-0005-0000-0000-0000AC030000}"/>
    <cellStyle name="Normal 4 3 9 2 5" xfId="1019" xr:uid="{00000000-0005-0000-0000-0000AD030000}"/>
    <cellStyle name="Normal 4 3 9 3" xfId="215" xr:uid="{00000000-0005-0000-0000-0000AE030000}"/>
    <cellStyle name="Normal 4 3 9 3 2" xfId="434" xr:uid="{00000000-0005-0000-0000-0000AF030000}"/>
    <cellStyle name="Normal 4 3 9 3 2 2" xfId="1311" xr:uid="{00000000-0005-0000-0000-0000B0030000}"/>
    <cellStyle name="Normal 4 3 9 3 3" xfId="653" xr:uid="{00000000-0005-0000-0000-0000B1030000}"/>
    <cellStyle name="Normal 4 3 9 3 3 2" xfId="1530" xr:uid="{00000000-0005-0000-0000-0000B2030000}"/>
    <cellStyle name="Normal 4 3 9 3 4" xfId="872" xr:uid="{00000000-0005-0000-0000-0000B3030000}"/>
    <cellStyle name="Normal 4 3 9 3 4 2" xfId="1749" xr:uid="{00000000-0005-0000-0000-0000B4030000}"/>
    <cellStyle name="Normal 4 3 9 3 5" xfId="1092" xr:uid="{00000000-0005-0000-0000-0000B5030000}"/>
    <cellStyle name="Normal 4 3 9 4" xfId="288" xr:uid="{00000000-0005-0000-0000-0000B6030000}"/>
    <cellStyle name="Normal 4 3 9 4 2" xfId="1165" xr:uid="{00000000-0005-0000-0000-0000B7030000}"/>
    <cellStyle name="Normal 4 3 9 5" xfId="507" xr:uid="{00000000-0005-0000-0000-0000B8030000}"/>
    <cellStyle name="Normal 4 3 9 5 2" xfId="1384" xr:uid="{00000000-0005-0000-0000-0000B9030000}"/>
    <cellStyle name="Normal 4 3 9 6" xfId="726" xr:uid="{00000000-0005-0000-0000-0000BA030000}"/>
    <cellStyle name="Normal 4 3 9 6 2" xfId="1603" xr:uid="{00000000-0005-0000-0000-0000BB030000}"/>
    <cellStyle name="Normal 4 3 9 7" xfId="945" xr:uid="{00000000-0005-0000-0000-0000BC030000}"/>
    <cellStyle name="Normal 4 4" xfId="43" xr:uid="{00000000-0005-0000-0000-0000BD030000}"/>
    <cellStyle name="Normal 4 4 10" xfId="129" xr:uid="{00000000-0005-0000-0000-0000BE030000}"/>
    <cellStyle name="Normal 4 4 10 2" xfId="204" xr:uid="{00000000-0005-0000-0000-0000BF030000}"/>
    <cellStyle name="Normal 4 4 10 2 2" xfId="423" xr:uid="{00000000-0005-0000-0000-0000C0030000}"/>
    <cellStyle name="Normal 4 4 10 2 2 2" xfId="1300" xr:uid="{00000000-0005-0000-0000-0000C1030000}"/>
    <cellStyle name="Normal 4 4 10 2 3" xfId="642" xr:uid="{00000000-0005-0000-0000-0000C2030000}"/>
    <cellStyle name="Normal 4 4 10 2 3 2" xfId="1519" xr:uid="{00000000-0005-0000-0000-0000C3030000}"/>
    <cellStyle name="Normal 4 4 10 2 4" xfId="861" xr:uid="{00000000-0005-0000-0000-0000C4030000}"/>
    <cellStyle name="Normal 4 4 10 2 4 2" xfId="1738" xr:uid="{00000000-0005-0000-0000-0000C5030000}"/>
    <cellStyle name="Normal 4 4 10 2 5" xfId="1081" xr:uid="{00000000-0005-0000-0000-0000C6030000}"/>
    <cellStyle name="Normal 4 4 10 3" xfId="277" xr:uid="{00000000-0005-0000-0000-0000C7030000}"/>
    <cellStyle name="Normal 4 4 10 3 2" xfId="496" xr:uid="{00000000-0005-0000-0000-0000C8030000}"/>
    <cellStyle name="Normal 4 4 10 3 2 2" xfId="1373" xr:uid="{00000000-0005-0000-0000-0000C9030000}"/>
    <cellStyle name="Normal 4 4 10 3 3" xfId="715" xr:uid="{00000000-0005-0000-0000-0000CA030000}"/>
    <cellStyle name="Normal 4 4 10 3 3 2" xfId="1592" xr:uid="{00000000-0005-0000-0000-0000CB030000}"/>
    <cellStyle name="Normal 4 4 10 3 4" xfId="934" xr:uid="{00000000-0005-0000-0000-0000CC030000}"/>
    <cellStyle name="Normal 4 4 10 3 4 2" xfId="1811" xr:uid="{00000000-0005-0000-0000-0000CD030000}"/>
    <cellStyle name="Normal 4 4 10 3 5" xfId="1154" xr:uid="{00000000-0005-0000-0000-0000CE030000}"/>
    <cellStyle name="Normal 4 4 10 4" xfId="350" xr:uid="{00000000-0005-0000-0000-0000CF030000}"/>
    <cellStyle name="Normal 4 4 10 4 2" xfId="1227" xr:uid="{00000000-0005-0000-0000-0000D0030000}"/>
    <cellStyle name="Normal 4 4 10 5" xfId="569" xr:uid="{00000000-0005-0000-0000-0000D1030000}"/>
    <cellStyle name="Normal 4 4 10 5 2" xfId="1446" xr:uid="{00000000-0005-0000-0000-0000D2030000}"/>
    <cellStyle name="Normal 4 4 10 6" xfId="788" xr:uid="{00000000-0005-0000-0000-0000D3030000}"/>
    <cellStyle name="Normal 4 4 10 6 2" xfId="1665" xr:uid="{00000000-0005-0000-0000-0000D4030000}"/>
    <cellStyle name="Normal 4 4 10 7" xfId="1008" xr:uid="{00000000-0005-0000-0000-0000D5030000}"/>
    <cellStyle name="Normal 4 4 11" xfId="133" xr:uid="{00000000-0005-0000-0000-0000D6030000}"/>
    <cellStyle name="Normal 4 4 11 2" xfId="208" xr:uid="{00000000-0005-0000-0000-0000D7030000}"/>
    <cellStyle name="Normal 4 4 11 2 2" xfId="427" xr:uid="{00000000-0005-0000-0000-0000D8030000}"/>
    <cellStyle name="Normal 4 4 11 2 2 2" xfId="1304" xr:uid="{00000000-0005-0000-0000-0000D9030000}"/>
    <cellStyle name="Normal 4 4 11 2 3" xfId="646" xr:uid="{00000000-0005-0000-0000-0000DA030000}"/>
    <cellStyle name="Normal 4 4 11 2 3 2" xfId="1523" xr:uid="{00000000-0005-0000-0000-0000DB030000}"/>
    <cellStyle name="Normal 4 4 11 2 4" xfId="865" xr:uid="{00000000-0005-0000-0000-0000DC030000}"/>
    <cellStyle name="Normal 4 4 11 2 4 2" xfId="1742" xr:uid="{00000000-0005-0000-0000-0000DD030000}"/>
    <cellStyle name="Normal 4 4 11 2 5" xfId="1085" xr:uid="{00000000-0005-0000-0000-0000DE030000}"/>
    <cellStyle name="Normal 4 4 11 3" xfId="281" xr:uid="{00000000-0005-0000-0000-0000DF030000}"/>
    <cellStyle name="Normal 4 4 11 3 2" xfId="500" xr:uid="{00000000-0005-0000-0000-0000E0030000}"/>
    <cellStyle name="Normal 4 4 11 3 2 2" xfId="1377" xr:uid="{00000000-0005-0000-0000-0000E1030000}"/>
    <cellStyle name="Normal 4 4 11 3 3" xfId="719" xr:uid="{00000000-0005-0000-0000-0000E2030000}"/>
    <cellStyle name="Normal 4 4 11 3 3 2" xfId="1596" xr:uid="{00000000-0005-0000-0000-0000E3030000}"/>
    <cellStyle name="Normal 4 4 11 3 4" xfId="938" xr:uid="{00000000-0005-0000-0000-0000E4030000}"/>
    <cellStyle name="Normal 4 4 11 3 4 2" xfId="1815" xr:uid="{00000000-0005-0000-0000-0000E5030000}"/>
    <cellStyle name="Normal 4 4 11 3 5" xfId="1158" xr:uid="{00000000-0005-0000-0000-0000E6030000}"/>
    <cellStyle name="Normal 4 4 11 4" xfId="354" xr:uid="{00000000-0005-0000-0000-0000E7030000}"/>
    <cellStyle name="Normal 4 4 11 4 2" xfId="1231" xr:uid="{00000000-0005-0000-0000-0000E8030000}"/>
    <cellStyle name="Normal 4 4 11 5" xfId="573" xr:uid="{00000000-0005-0000-0000-0000E9030000}"/>
    <cellStyle name="Normal 4 4 11 5 2" xfId="1450" xr:uid="{00000000-0005-0000-0000-0000EA030000}"/>
    <cellStyle name="Normal 4 4 11 6" xfId="792" xr:uid="{00000000-0005-0000-0000-0000EB030000}"/>
    <cellStyle name="Normal 4 4 11 6 2" xfId="1669" xr:uid="{00000000-0005-0000-0000-0000EC030000}"/>
    <cellStyle name="Normal 4 4 11 7" xfId="1012" xr:uid="{00000000-0005-0000-0000-0000ED030000}"/>
    <cellStyle name="Normal 4 4 12" xfId="137" xr:uid="{00000000-0005-0000-0000-0000EE030000}"/>
    <cellStyle name="Normal 4 4 12 2" xfId="358" xr:uid="{00000000-0005-0000-0000-0000EF030000}"/>
    <cellStyle name="Normal 4 4 12 2 2" xfId="1235" xr:uid="{00000000-0005-0000-0000-0000F0030000}"/>
    <cellStyle name="Normal 4 4 12 3" xfId="577" xr:uid="{00000000-0005-0000-0000-0000F1030000}"/>
    <cellStyle name="Normal 4 4 12 3 2" xfId="1454" xr:uid="{00000000-0005-0000-0000-0000F2030000}"/>
    <cellStyle name="Normal 4 4 12 4" xfId="796" xr:uid="{00000000-0005-0000-0000-0000F3030000}"/>
    <cellStyle name="Normal 4 4 12 4 2" xfId="1673" xr:uid="{00000000-0005-0000-0000-0000F4030000}"/>
    <cellStyle name="Normal 4 4 12 5" xfId="1016" xr:uid="{00000000-0005-0000-0000-0000F5030000}"/>
    <cellStyle name="Normal 4 4 13" xfId="212" xr:uid="{00000000-0005-0000-0000-0000F6030000}"/>
    <cellStyle name="Normal 4 4 13 2" xfId="431" xr:uid="{00000000-0005-0000-0000-0000F7030000}"/>
    <cellStyle name="Normal 4 4 13 2 2" xfId="1308" xr:uid="{00000000-0005-0000-0000-0000F8030000}"/>
    <cellStyle name="Normal 4 4 13 3" xfId="650" xr:uid="{00000000-0005-0000-0000-0000F9030000}"/>
    <cellStyle name="Normal 4 4 13 3 2" xfId="1527" xr:uid="{00000000-0005-0000-0000-0000FA030000}"/>
    <cellStyle name="Normal 4 4 13 4" xfId="869" xr:uid="{00000000-0005-0000-0000-0000FB030000}"/>
    <cellStyle name="Normal 4 4 13 4 2" xfId="1746" xr:uid="{00000000-0005-0000-0000-0000FC030000}"/>
    <cellStyle name="Normal 4 4 13 5" xfId="1089" xr:uid="{00000000-0005-0000-0000-0000FD030000}"/>
    <cellStyle name="Normal 4 4 14" xfId="285" xr:uid="{00000000-0005-0000-0000-0000FE030000}"/>
    <cellStyle name="Normal 4 4 14 2" xfId="1162" xr:uid="{00000000-0005-0000-0000-0000FF030000}"/>
    <cellStyle name="Normal 4 4 15" xfId="504" xr:uid="{00000000-0005-0000-0000-000000040000}"/>
    <cellStyle name="Normal 4 4 15 2" xfId="1381" xr:uid="{00000000-0005-0000-0000-000001040000}"/>
    <cellStyle name="Normal 4 4 16" xfId="723" xr:uid="{00000000-0005-0000-0000-000002040000}"/>
    <cellStyle name="Normal 4 4 16 2" xfId="1600" xr:uid="{00000000-0005-0000-0000-000003040000}"/>
    <cellStyle name="Normal 4 4 17" xfId="942" xr:uid="{00000000-0005-0000-0000-000004040000}"/>
    <cellStyle name="Normal 4 4 2" xfId="52" xr:uid="{00000000-0005-0000-0000-000005040000}"/>
    <cellStyle name="Normal 4 4 2 10" xfId="951" xr:uid="{00000000-0005-0000-0000-000006040000}"/>
    <cellStyle name="Normal 4 4 2 2" xfId="76" xr:uid="{00000000-0005-0000-0000-000007040000}"/>
    <cellStyle name="Normal 4 4 2 2 2" xfId="170" xr:uid="{00000000-0005-0000-0000-000008040000}"/>
    <cellStyle name="Normal 4 4 2 2 2 2" xfId="391" xr:uid="{00000000-0005-0000-0000-000009040000}"/>
    <cellStyle name="Normal 4 4 2 2 2 2 2" xfId="1268" xr:uid="{00000000-0005-0000-0000-00000A040000}"/>
    <cellStyle name="Normal 4 4 2 2 2 3" xfId="610" xr:uid="{00000000-0005-0000-0000-00000B040000}"/>
    <cellStyle name="Normal 4 4 2 2 2 3 2" xfId="1487" xr:uid="{00000000-0005-0000-0000-00000C040000}"/>
    <cellStyle name="Normal 4 4 2 2 2 4" xfId="829" xr:uid="{00000000-0005-0000-0000-00000D040000}"/>
    <cellStyle name="Normal 4 4 2 2 2 4 2" xfId="1706" xr:uid="{00000000-0005-0000-0000-00000E040000}"/>
    <cellStyle name="Normal 4 4 2 2 2 5" xfId="1049" xr:uid="{00000000-0005-0000-0000-00000F040000}"/>
    <cellStyle name="Normal 4 4 2 2 3" xfId="245" xr:uid="{00000000-0005-0000-0000-000010040000}"/>
    <cellStyle name="Normal 4 4 2 2 3 2" xfId="464" xr:uid="{00000000-0005-0000-0000-000011040000}"/>
    <cellStyle name="Normal 4 4 2 2 3 2 2" xfId="1341" xr:uid="{00000000-0005-0000-0000-000012040000}"/>
    <cellStyle name="Normal 4 4 2 2 3 3" xfId="683" xr:uid="{00000000-0005-0000-0000-000013040000}"/>
    <cellStyle name="Normal 4 4 2 2 3 3 2" xfId="1560" xr:uid="{00000000-0005-0000-0000-000014040000}"/>
    <cellStyle name="Normal 4 4 2 2 3 4" xfId="902" xr:uid="{00000000-0005-0000-0000-000015040000}"/>
    <cellStyle name="Normal 4 4 2 2 3 4 2" xfId="1779" xr:uid="{00000000-0005-0000-0000-000016040000}"/>
    <cellStyle name="Normal 4 4 2 2 3 5" xfId="1122" xr:uid="{00000000-0005-0000-0000-000017040000}"/>
    <cellStyle name="Normal 4 4 2 2 4" xfId="318" xr:uid="{00000000-0005-0000-0000-000018040000}"/>
    <cellStyle name="Normal 4 4 2 2 4 2" xfId="1195" xr:uid="{00000000-0005-0000-0000-000019040000}"/>
    <cellStyle name="Normal 4 4 2 2 5" xfId="537" xr:uid="{00000000-0005-0000-0000-00001A040000}"/>
    <cellStyle name="Normal 4 4 2 2 5 2" xfId="1414" xr:uid="{00000000-0005-0000-0000-00001B040000}"/>
    <cellStyle name="Normal 4 4 2 2 6" xfId="756" xr:uid="{00000000-0005-0000-0000-00001C040000}"/>
    <cellStyle name="Normal 4 4 2 2 6 2" xfId="1633" xr:uid="{00000000-0005-0000-0000-00001D040000}"/>
    <cellStyle name="Normal 4 4 2 2 7" xfId="975" xr:uid="{00000000-0005-0000-0000-00001E040000}"/>
    <cellStyle name="Normal 4 4 2 3" xfId="108" xr:uid="{00000000-0005-0000-0000-00001F040000}"/>
    <cellStyle name="Normal 4 4 2 3 2" xfId="185" xr:uid="{00000000-0005-0000-0000-000020040000}"/>
    <cellStyle name="Normal 4 4 2 3 2 2" xfId="406" xr:uid="{00000000-0005-0000-0000-000021040000}"/>
    <cellStyle name="Normal 4 4 2 3 2 2 2" xfId="1283" xr:uid="{00000000-0005-0000-0000-000022040000}"/>
    <cellStyle name="Normal 4 4 2 3 2 3" xfId="625" xr:uid="{00000000-0005-0000-0000-000023040000}"/>
    <cellStyle name="Normal 4 4 2 3 2 3 2" xfId="1502" xr:uid="{00000000-0005-0000-0000-000024040000}"/>
    <cellStyle name="Normal 4 4 2 3 2 4" xfId="844" xr:uid="{00000000-0005-0000-0000-000025040000}"/>
    <cellStyle name="Normal 4 4 2 3 2 4 2" xfId="1721" xr:uid="{00000000-0005-0000-0000-000026040000}"/>
    <cellStyle name="Normal 4 4 2 3 2 5" xfId="1064" xr:uid="{00000000-0005-0000-0000-000027040000}"/>
    <cellStyle name="Normal 4 4 2 3 3" xfId="260" xr:uid="{00000000-0005-0000-0000-000028040000}"/>
    <cellStyle name="Normal 4 4 2 3 3 2" xfId="479" xr:uid="{00000000-0005-0000-0000-000029040000}"/>
    <cellStyle name="Normal 4 4 2 3 3 2 2" xfId="1356" xr:uid="{00000000-0005-0000-0000-00002A040000}"/>
    <cellStyle name="Normal 4 4 2 3 3 3" xfId="698" xr:uid="{00000000-0005-0000-0000-00002B040000}"/>
    <cellStyle name="Normal 4 4 2 3 3 3 2" xfId="1575" xr:uid="{00000000-0005-0000-0000-00002C040000}"/>
    <cellStyle name="Normal 4 4 2 3 3 4" xfId="917" xr:uid="{00000000-0005-0000-0000-00002D040000}"/>
    <cellStyle name="Normal 4 4 2 3 3 4 2" xfId="1794" xr:uid="{00000000-0005-0000-0000-00002E040000}"/>
    <cellStyle name="Normal 4 4 2 3 3 5" xfId="1137" xr:uid="{00000000-0005-0000-0000-00002F040000}"/>
    <cellStyle name="Normal 4 4 2 3 4" xfId="333" xr:uid="{00000000-0005-0000-0000-000030040000}"/>
    <cellStyle name="Normal 4 4 2 3 4 2" xfId="1210" xr:uid="{00000000-0005-0000-0000-000031040000}"/>
    <cellStyle name="Normal 4 4 2 3 5" xfId="552" xr:uid="{00000000-0005-0000-0000-000032040000}"/>
    <cellStyle name="Normal 4 4 2 3 5 2" xfId="1429" xr:uid="{00000000-0005-0000-0000-000033040000}"/>
    <cellStyle name="Normal 4 4 2 3 6" xfId="771" xr:uid="{00000000-0005-0000-0000-000034040000}"/>
    <cellStyle name="Normal 4 4 2 3 6 2" xfId="1648" xr:uid="{00000000-0005-0000-0000-000035040000}"/>
    <cellStyle name="Normal 4 4 2 3 7" xfId="991" xr:uid="{00000000-0005-0000-0000-000036040000}"/>
    <cellStyle name="Normal 4 4 2 4" xfId="68" xr:uid="{00000000-0005-0000-0000-000037040000}"/>
    <cellStyle name="Normal 4 4 2 4 2" xfId="162" xr:uid="{00000000-0005-0000-0000-000038040000}"/>
    <cellStyle name="Normal 4 4 2 4 2 2" xfId="383" xr:uid="{00000000-0005-0000-0000-000039040000}"/>
    <cellStyle name="Normal 4 4 2 4 2 2 2" xfId="1260" xr:uid="{00000000-0005-0000-0000-00003A040000}"/>
    <cellStyle name="Normal 4 4 2 4 2 3" xfId="602" xr:uid="{00000000-0005-0000-0000-00003B040000}"/>
    <cellStyle name="Normal 4 4 2 4 2 3 2" xfId="1479" xr:uid="{00000000-0005-0000-0000-00003C040000}"/>
    <cellStyle name="Normal 4 4 2 4 2 4" xfId="821" xr:uid="{00000000-0005-0000-0000-00003D040000}"/>
    <cellStyle name="Normal 4 4 2 4 2 4 2" xfId="1698" xr:uid="{00000000-0005-0000-0000-00003E040000}"/>
    <cellStyle name="Normal 4 4 2 4 2 5" xfId="1041" xr:uid="{00000000-0005-0000-0000-00003F040000}"/>
    <cellStyle name="Normal 4 4 2 4 3" xfId="237" xr:uid="{00000000-0005-0000-0000-000040040000}"/>
    <cellStyle name="Normal 4 4 2 4 3 2" xfId="456" xr:uid="{00000000-0005-0000-0000-000041040000}"/>
    <cellStyle name="Normal 4 4 2 4 3 2 2" xfId="1333" xr:uid="{00000000-0005-0000-0000-000042040000}"/>
    <cellStyle name="Normal 4 4 2 4 3 3" xfId="675" xr:uid="{00000000-0005-0000-0000-000043040000}"/>
    <cellStyle name="Normal 4 4 2 4 3 3 2" xfId="1552" xr:uid="{00000000-0005-0000-0000-000044040000}"/>
    <cellStyle name="Normal 4 4 2 4 3 4" xfId="894" xr:uid="{00000000-0005-0000-0000-000045040000}"/>
    <cellStyle name="Normal 4 4 2 4 3 4 2" xfId="1771" xr:uid="{00000000-0005-0000-0000-000046040000}"/>
    <cellStyle name="Normal 4 4 2 4 3 5" xfId="1114" xr:uid="{00000000-0005-0000-0000-000047040000}"/>
    <cellStyle name="Normal 4 4 2 4 4" xfId="310" xr:uid="{00000000-0005-0000-0000-000048040000}"/>
    <cellStyle name="Normal 4 4 2 4 4 2" xfId="1187" xr:uid="{00000000-0005-0000-0000-000049040000}"/>
    <cellStyle name="Normal 4 4 2 4 5" xfId="529" xr:uid="{00000000-0005-0000-0000-00004A040000}"/>
    <cellStyle name="Normal 4 4 2 4 5 2" xfId="1406" xr:uid="{00000000-0005-0000-0000-00004B040000}"/>
    <cellStyle name="Normal 4 4 2 4 6" xfId="748" xr:uid="{00000000-0005-0000-0000-00004C040000}"/>
    <cellStyle name="Normal 4 4 2 4 6 2" xfId="1625" xr:uid="{00000000-0005-0000-0000-00004D040000}"/>
    <cellStyle name="Normal 4 4 2 4 7" xfId="967" xr:uid="{00000000-0005-0000-0000-00004E040000}"/>
    <cellStyle name="Normal 4 4 2 5" xfId="146" xr:uid="{00000000-0005-0000-0000-00004F040000}"/>
    <cellStyle name="Normal 4 4 2 5 2" xfId="367" xr:uid="{00000000-0005-0000-0000-000050040000}"/>
    <cellStyle name="Normal 4 4 2 5 2 2" xfId="1244" xr:uid="{00000000-0005-0000-0000-000051040000}"/>
    <cellStyle name="Normal 4 4 2 5 3" xfId="586" xr:uid="{00000000-0005-0000-0000-000052040000}"/>
    <cellStyle name="Normal 4 4 2 5 3 2" xfId="1463" xr:uid="{00000000-0005-0000-0000-000053040000}"/>
    <cellStyle name="Normal 4 4 2 5 4" xfId="805" xr:uid="{00000000-0005-0000-0000-000054040000}"/>
    <cellStyle name="Normal 4 4 2 5 4 2" xfId="1682" xr:uid="{00000000-0005-0000-0000-000055040000}"/>
    <cellStyle name="Normal 4 4 2 5 5" xfId="1025" xr:uid="{00000000-0005-0000-0000-000056040000}"/>
    <cellStyle name="Normal 4 4 2 6" xfId="221" xr:uid="{00000000-0005-0000-0000-000057040000}"/>
    <cellStyle name="Normal 4 4 2 6 2" xfId="440" xr:uid="{00000000-0005-0000-0000-000058040000}"/>
    <cellStyle name="Normal 4 4 2 6 2 2" xfId="1317" xr:uid="{00000000-0005-0000-0000-000059040000}"/>
    <cellStyle name="Normal 4 4 2 6 3" xfId="659" xr:uid="{00000000-0005-0000-0000-00005A040000}"/>
    <cellStyle name="Normal 4 4 2 6 3 2" xfId="1536" xr:uid="{00000000-0005-0000-0000-00005B040000}"/>
    <cellStyle name="Normal 4 4 2 6 4" xfId="878" xr:uid="{00000000-0005-0000-0000-00005C040000}"/>
    <cellStyle name="Normal 4 4 2 6 4 2" xfId="1755" xr:uid="{00000000-0005-0000-0000-00005D040000}"/>
    <cellStyle name="Normal 4 4 2 6 5" xfId="1098" xr:uid="{00000000-0005-0000-0000-00005E040000}"/>
    <cellStyle name="Normal 4 4 2 7" xfId="294" xr:uid="{00000000-0005-0000-0000-00005F040000}"/>
    <cellStyle name="Normal 4 4 2 7 2" xfId="1171" xr:uid="{00000000-0005-0000-0000-000060040000}"/>
    <cellStyle name="Normal 4 4 2 8" xfId="513" xr:uid="{00000000-0005-0000-0000-000061040000}"/>
    <cellStyle name="Normal 4 4 2 8 2" xfId="1390" xr:uid="{00000000-0005-0000-0000-000062040000}"/>
    <cellStyle name="Normal 4 4 2 9" xfId="732" xr:uid="{00000000-0005-0000-0000-000063040000}"/>
    <cellStyle name="Normal 4 4 2 9 2" xfId="1609" xr:uid="{00000000-0005-0000-0000-000064040000}"/>
    <cellStyle name="Normal 4 4 3" xfId="56" xr:uid="{00000000-0005-0000-0000-000065040000}"/>
    <cellStyle name="Normal 4 4 3 2" xfId="113" xr:uid="{00000000-0005-0000-0000-000066040000}"/>
    <cellStyle name="Normal 4 4 3 2 2" xfId="190" xr:uid="{00000000-0005-0000-0000-000067040000}"/>
    <cellStyle name="Normal 4 4 3 2 2 2" xfId="411" xr:uid="{00000000-0005-0000-0000-000068040000}"/>
    <cellStyle name="Normal 4 4 3 2 2 2 2" xfId="1288" xr:uid="{00000000-0005-0000-0000-000069040000}"/>
    <cellStyle name="Normal 4 4 3 2 2 3" xfId="630" xr:uid="{00000000-0005-0000-0000-00006A040000}"/>
    <cellStyle name="Normal 4 4 3 2 2 3 2" xfId="1507" xr:uid="{00000000-0005-0000-0000-00006B040000}"/>
    <cellStyle name="Normal 4 4 3 2 2 4" xfId="849" xr:uid="{00000000-0005-0000-0000-00006C040000}"/>
    <cellStyle name="Normal 4 4 3 2 2 4 2" xfId="1726" xr:uid="{00000000-0005-0000-0000-00006D040000}"/>
    <cellStyle name="Normal 4 4 3 2 2 5" xfId="1069" xr:uid="{00000000-0005-0000-0000-00006E040000}"/>
    <cellStyle name="Normal 4 4 3 2 3" xfId="265" xr:uid="{00000000-0005-0000-0000-00006F040000}"/>
    <cellStyle name="Normal 4 4 3 2 3 2" xfId="484" xr:uid="{00000000-0005-0000-0000-000070040000}"/>
    <cellStyle name="Normal 4 4 3 2 3 2 2" xfId="1361" xr:uid="{00000000-0005-0000-0000-000071040000}"/>
    <cellStyle name="Normal 4 4 3 2 3 3" xfId="703" xr:uid="{00000000-0005-0000-0000-000072040000}"/>
    <cellStyle name="Normal 4 4 3 2 3 3 2" xfId="1580" xr:uid="{00000000-0005-0000-0000-000073040000}"/>
    <cellStyle name="Normal 4 4 3 2 3 4" xfId="922" xr:uid="{00000000-0005-0000-0000-000074040000}"/>
    <cellStyle name="Normal 4 4 3 2 3 4 2" xfId="1799" xr:uid="{00000000-0005-0000-0000-000075040000}"/>
    <cellStyle name="Normal 4 4 3 2 3 5" xfId="1142" xr:uid="{00000000-0005-0000-0000-000076040000}"/>
    <cellStyle name="Normal 4 4 3 2 4" xfId="338" xr:uid="{00000000-0005-0000-0000-000077040000}"/>
    <cellStyle name="Normal 4 4 3 2 4 2" xfId="1215" xr:uid="{00000000-0005-0000-0000-000078040000}"/>
    <cellStyle name="Normal 4 4 3 2 5" xfId="557" xr:uid="{00000000-0005-0000-0000-000079040000}"/>
    <cellStyle name="Normal 4 4 3 2 5 2" xfId="1434" xr:uid="{00000000-0005-0000-0000-00007A040000}"/>
    <cellStyle name="Normal 4 4 3 2 6" xfId="776" xr:uid="{00000000-0005-0000-0000-00007B040000}"/>
    <cellStyle name="Normal 4 4 3 2 6 2" xfId="1653" xr:uid="{00000000-0005-0000-0000-00007C040000}"/>
    <cellStyle name="Normal 4 4 3 2 7" xfId="996" xr:uid="{00000000-0005-0000-0000-00007D040000}"/>
    <cellStyle name="Normal 4 4 3 3" xfId="87" xr:uid="{00000000-0005-0000-0000-00007E040000}"/>
    <cellStyle name="Normal 4 4 3 3 2" xfId="175" xr:uid="{00000000-0005-0000-0000-00007F040000}"/>
    <cellStyle name="Normal 4 4 3 3 2 2" xfId="396" xr:uid="{00000000-0005-0000-0000-000080040000}"/>
    <cellStyle name="Normal 4 4 3 3 2 2 2" xfId="1273" xr:uid="{00000000-0005-0000-0000-000081040000}"/>
    <cellStyle name="Normal 4 4 3 3 2 3" xfId="615" xr:uid="{00000000-0005-0000-0000-000082040000}"/>
    <cellStyle name="Normal 4 4 3 3 2 3 2" xfId="1492" xr:uid="{00000000-0005-0000-0000-000083040000}"/>
    <cellStyle name="Normal 4 4 3 3 2 4" xfId="834" xr:uid="{00000000-0005-0000-0000-000084040000}"/>
    <cellStyle name="Normal 4 4 3 3 2 4 2" xfId="1711" xr:uid="{00000000-0005-0000-0000-000085040000}"/>
    <cellStyle name="Normal 4 4 3 3 2 5" xfId="1054" xr:uid="{00000000-0005-0000-0000-000086040000}"/>
    <cellStyle name="Normal 4 4 3 3 3" xfId="250" xr:uid="{00000000-0005-0000-0000-000087040000}"/>
    <cellStyle name="Normal 4 4 3 3 3 2" xfId="469" xr:uid="{00000000-0005-0000-0000-000088040000}"/>
    <cellStyle name="Normal 4 4 3 3 3 2 2" xfId="1346" xr:uid="{00000000-0005-0000-0000-000089040000}"/>
    <cellStyle name="Normal 4 4 3 3 3 3" xfId="688" xr:uid="{00000000-0005-0000-0000-00008A040000}"/>
    <cellStyle name="Normal 4 4 3 3 3 3 2" xfId="1565" xr:uid="{00000000-0005-0000-0000-00008B040000}"/>
    <cellStyle name="Normal 4 4 3 3 3 4" xfId="907" xr:uid="{00000000-0005-0000-0000-00008C040000}"/>
    <cellStyle name="Normal 4 4 3 3 3 4 2" xfId="1784" xr:uid="{00000000-0005-0000-0000-00008D040000}"/>
    <cellStyle name="Normal 4 4 3 3 3 5" xfId="1127" xr:uid="{00000000-0005-0000-0000-00008E040000}"/>
    <cellStyle name="Normal 4 4 3 3 4" xfId="323" xr:uid="{00000000-0005-0000-0000-00008F040000}"/>
    <cellStyle name="Normal 4 4 3 3 4 2" xfId="1200" xr:uid="{00000000-0005-0000-0000-000090040000}"/>
    <cellStyle name="Normal 4 4 3 3 5" xfId="542" xr:uid="{00000000-0005-0000-0000-000091040000}"/>
    <cellStyle name="Normal 4 4 3 3 5 2" xfId="1419" xr:uid="{00000000-0005-0000-0000-000092040000}"/>
    <cellStyle name="Normal 4 4 3 3 6" xfId="761" xr:uid="{00000000-0005-0000-0000-000093040000}"/>
    <cellStyle name="Normal 4 4 3 3 6 2" xfId="1638" xr:uid="{00000000-0005-0000-0000-000094040000}"/>
    <cellStyle name="Normal 4 4 3 3 7" xfId="980" xr:uid="{00000000-0005-0000-0000-000095040000}"/>
    <cellStyle name="Normal 4 4 3 4" xfId="150" xr:uid="{00000000-0005-0000-0000-000096040000}"/>
    <cellStyle name="Normal 4 4 3 4 2" xfId="371" xr:uid="{00000000-0005-0000-0000-000097040000}"/>
    <cellStyle name="Normal 4 4 3 4 2 2" xfId="1248" xr:uid="{00000000-0005-0000-0000-000098040000}"/>
    <cellStyle name="Normal 4 4 3 4 3" xfId="590" xr:uid="{00000000-0005-0000-0000-000099040000}"/>
    <cellStyle name="Normal 4 4 3 4 3 2" xfId="1467" xr:uid="{00000000-0005-0000-0000-00009A040000}"/>
    <cellStyle name="Normal 4 4 3 4 4" xfId="809" xr:uid="{00000000-0005-0000-0000-00009B040000}"/>
    <cellStyle name="Normal 4 4 3 4 4 2" xfId="1686" xr:uid="{00000000-0005-0000-0000-00009C040000}"/>
    <cellStyle name="Normal 4 4 3 4 5" xfId="1029" xr:uid="{00000000-0005-0000-0000-00009D040000}"/>
    <cellStyle name="Normal 4 4 3 5" xfId="225" xr:uid="{00000000-0005-0000-0000-00009E040000}"/>
    <cellStyle name="Normal 4 4 3 5 2" xfId="444" xr:uid="{00000000-0005-0000-0000-00009F040000}"/>
    <cellStyle name="Normal 4 4 3 5 2 2" xfId="1321" xr:uid="{00000000-0005-0000-0000-0000A0040000}"/>
    <cellStyle name="Normal 4 4 3 5 3" xfId="663" xr:uid="{00000000-0005-0000-0000-0000A1040000}"/>
    <cellStyle name="Normal 4 4 3 5 3 2" xfId="1540" xr:uid="{00000000-0005-0000-0000-0000A2040000}"/>
    <cellStyle name="Normal 4 4 3 5 4" xfId="882" xr:uid="{00000000-0005-0000-0000-0000A3040000}"/>
    <cellStyle name="Normal 4 4 3 5 4 2" xfId="1759" xr:uid="{00000000-0005-0000-0000-0000A4040000}"/>
    <cellStyle name="Normal 4 4 3 5 5" xfId="1102" xr:uid="{00000000-0005-0000-0000-0000A5040000}"/>
    <cellStyle name="Normal 4 4 3 6" xfId="298" xr:uid="{00000000-0005-0000-0000-0000A6040000}"/>
    <cellStyle name="Normal 4 4 3 6 2" xfId="1175" xr:uid="{00000000-0005-0000-0000-0000A7040000}"/>
    <cellStyle name="Normal 4 4 3 7" xfId="517" xr:uid="{00000000-0005-0000-0000-0000A8040000}"/>
    <cellStyle name="Normal 4 4 3 7 2" xfId="1394" xr:uid="{00000000-0005-0000-0000-0000A9040000}"/>
    <cellStyle name="Normal 4 4 3 8" xfId="736" xr:uid="{00000000-0005-0000-0000-0000AA040000}"/>
    <cellStyle name="Normal 4 4 3 8 2" xfId="1613" xr:uid="{00000000-0005-0000-0000-0000AB040000}"/>
    <cellStyle name="Normal 4 4 3 9" xfId="955" xr:uid="{00000000-0005-0000-0000-0000AC040000}"/>
    <cellStyle name="Normal 4 4 4" xfId="72" xr:uid="{00000000-0005-0000-0000-0000AD040000}"/>
    <cellStyle name="Normal 4 4 4 2" xfId="166" xr:uid="{00000000-0005-0000-0000-0000AE040000}"/>
    <cellStyle name="Normal 4 4 4 2 2" xfId="387" xr:uid="{00000000-0005-0000-0000-0000AF040000}"/>
    <cellStyle name="Normal 4 4 4 2 2 2" xfId="1264" xr:uid="{00000000-0005-0000-0000-0000B0040000}"/>
    <cellStyle name="Normal 4 4 4 2 3" xfId="606" xr:uid="{00000000-0005-0000-0000-0000B1040000}"/>
    <cellStyle name="Normal 4 4 4 2 3 2" xfId="1483" xr:uid="{00000000-0005-0000-0000-0000B2040000}"/>
    <cellStyle name="Normal 4 4 4 2 4" xfId="825" xr:uid="{00000000-0005-0000-0000-0000B3040000}"/>
    <cellStyle name="Normal 4 4 4 2 4 2" xfId="1702" xr:uid="{00000000-0005-0000-0000-0000B4040000}"/>
    <cellStyle name="Normal 4 4 4 2 5" xfId="1045" xr:uid="{00000000-0005-0000-0000-0000B5040000}"/>
    <cellStyle name="Normal 4 4 4 3" xfId="241" xr:uid="{00000000-0005-0000-0000-0000B6040000}"/>
    <cellStyle name="Normal 4 4 4 3 2" xfId="460" xr:uid="{00000000-0005-0000-0000-0000B7040000}"/>
    <cellStyle name="Normal 4 4 4 3 2 2" xfId="1337" xr:uid="{00000000-0005-0000-0000-0000B8040000}"/>
    <cellStyle name="Normal 4 4 4 3 3" xfId="679" xr:uid="{00000000-0005-0000-0000-0000B9040000}"/>
    <cellStyle name="Normal 4 4 4 3 3 2" xfId="1556" xr:uid="{00000000-0005-0000-0000-0000BA040000}"/>
    <cellStyle name="Normal 4 4 4 3 4" xfId="898" xr:uid="{00000000-0005-0000-0000-0000BB040000}"/>
    <cellStyle name="Normal 4 4 4 3 4 2" xfId="1775" xr:uid="{00000000-0005-0000-0000-0000BC040000}"/>
    <cellStyle name="Normal 4 4 4 3 5" xfId="1118" xr:uid="{00000000-0005-0000-0000-0000BD040000}"/>
    <cellStyle name="Normal 4 4 4 4" xfId="314" xr:uid="{00000000-0005-0000-0000-0000BE040000}"/>
    <cellStyle name="Normal 4 4 4 4 2" xfId="1191" xr:uid="{00000000-0005-0000-0000-0000BF040000}"/>
    <cellStyle name="Normal 4 4 4 5" xfId="533" xr:uid="{00000000-0005-0000-0000-0000C0040000}"/>
    <cellStyle name="Normal 4 4 4 5 2" xfId="1410" xr:uid="{00000000-0005-0000-0000-0000C1040000}"/>
    <cellStyle name="Normal 4 4 4 6" xfId="752" xr:uid="{00000000-0005-0000-0000-0000C2040000}"/>
    <cellStyle name="Normal 4 4 4 6 2" xfId="1629" xr:uid="{00000000-0005-0000-0000-0000C3040000}"/>
    <cellStyle name="Normal 4 4 4 7" xfId="971" xr:uid="{00000000-0005-0000-0000-0000C4040000}"/>
    <cellStyle name="Normal 4 4 5" xfId="64" xr:uid="{00000000-0005-0000-0000-0000C5040000}"/>
    <cellStyle name="Normal 4 4 5 2" xfId="158" xr:uid="{00000000-0005-0000-0000-0000C6040000}"/>
    <cellStyle name="Normal 4 4 5 2 2" xfId="379" xr:uid="{00000000-0005-0000-0000-0000C7040000}"/>
    <cellStyle name="Normal 4 4 5 2 2 2" xfId="1256" xr:uid="{00000000-0005-0000-0000-0000C8040000}"/>
    <cellStyle name="Normal 4 4 5 2 3" xfId="598" xr:uid="{00000000-0005-0000-0000-0000C9040000}"/>
    <cellStyle name="Normal 4 4 5 2 3 2" xfId="1475" xr:uid="{00000000-0005-0000-0000-0000CA040000}"/>
    <cellStyle name="Normal 4 4 5 2 4" xfId="817" xr:uid="{00000000-0005-0000-0000-0000CB040000}"/>
    <cellStyle name="Normal 4 4 5 2 4 2" xfId="1694" xr:uid="{00000000-0005-0000-0000-0000CC040000}"/>
    <cellStyle name="Normal 4 4 5 2 5" xfId="1037" xr:uid="{00000000-0005-0000-0000-0000CD040000}"/>
    <cellStyle name="Normal 4 4 5 3" xfId="233" xr:uid="{00000000-0005-0000-0000-0000CE040000}"/>
    <cellStyle name="Normal 4 4 5 3 2" xfId="452" xr:uid="{00000000-0005-0000-0000-0000CF040000}"/>
    <cellStyle name="Normal 4 4 5 3 2 2" xfId="1329" xr:uid="{00000000-0005-0000-0000-0000D0040000}"/>
    <cellStyle name="Normal 4 4 5 3 3" xfId="671" xr:uid="{00000000-0005-0000-0000-0000D1040000}"/>
    <cellStyle name="Normal 4 4 5 3 3 2" xfId="1548" xr:uid="{00000000-0005-0000-0000-0000D2040000}"/>
    <cellStyle name="Normal 4 4 5 3 4" xfId="890" xr:uid="{00000000-0005-0000-0000-0000D3040000}"/>
    <cellStyle name="Normal 4 4 5 3 4 2" xfId="1767" xr:uid="{00000000-0005-0000-0000-0000D4040000}"/>
    <cellStyle name="Normal 4 4 5 3 5" xfId="1110" xr:uid="{00000000-0005-0000-0000-0000D5040000}"/>
    <cellStyle name="Normal 4 4 5 4" xfId="306" xr:uid="{00000000-0005-0000-0000-0000D6040000}"/>
    <cellStyle name="Normal 4 4 5 4 2" xfId="1183" xr:uid="{00000000-0005-0000-0000-0000D7040000}"/>
    <cellStyle name="Normal 4 4 5 5" xfId="525" xr:uid="{00000000-0005-0000-0000-0000D8040000}"/>
    <cellStyle name="Normal 4 4 5 5 2" xfId="1402" xr:uid="{00000000-0005-0000-0000-0000D9040000}"/>
    <cellStyle name="Normal 4 4 5 6" xfId="744" xr:uid="{00000000-0005-0000-0000-0000DA040000}"/>
    <cellStyle name="Normal 4 4 5 6 2" xfId="1621" xr:uid="{00000000-0005-0000-0000-0000DB040000}"/>
    <cellStyle name="Normal 4 4 5 7" xfId="963" xr:uid="{00000000-0005-0000-0000-0000DC040000}"/>
    <cellStyle name="Normal 4 4 6" xfId="104" xr:uid="{00000000-0005-0000-0000-0000DD040000}"/>
    <cellStyle name="Normal 4 4 6 2" xfId="181" xr:uid="{00000000-0005-0000-0000-0000DE040000}"/>
    <cellStyle name="Normal 4 4 6 2 2" xfId="402" xr:uid="{00000000-0005-0000-0000-0000DF040000}"/>
    <cellStyle name="Normal 4 4 6 2 2 2" xfId="1279" xr:uid="{00000000-0005-0000-0000-0000E0040000}"/>
    <cellStyle name="Normal 4 4 6 2 3" xfId="621" xr:uid="{00000000-0005-0000-0000-0000E1040000}"/>
    <cellStyle name="Normal 4 4 6 2 3 2" xfId="1498" xr:uid="{00000000-0005-0000-0000-0000E2040000}"/>
    <cellStyle name="Normal 4 4 6 2 4" xfId="840" xr:uid="{00000000-0005-0000-0000-0000E3040000}"/>
    <cellStyle name="Normal 4 4 6 2 4 2" xfId="1717" xr:uid="{00000000-0005-0000-0000-0000E4040000}"/>
    <cellStyle name="Normal 4 4 6 2 5" xfId="1060" xr:uid="{00000000-0005-0000-0000-0000E5040000}"/>
    <cellStyle name="Normal 4 4 6 3" xfId="256" xr:uid="{00000000-0005-0000-0000-0000E6040000}"/>
    <cellStyle name="Normal 4 4 6 3 2" xfId="475" xr:uid="{00000000-0005-0000-0000-0000E7040000}"/>
    <cellStyle name="Normal 4 4 6 3 2 2" xfId="1352" xr:uid="{00000000-0005-0000-0000-0000E8040000}"/>
    <cellStyle name="Normal 4 4 6 3 3" xfId="694" xr:uid="{00000000-0005-0000-0000-0000E9040000}"/>
    <cellStyle name="Normal 4 4 6 3 3 2" xfId="1571" xr:uid="{00000000-0005-0000-0000-0000EA040000}"/>
    <cellStyle name="Normal 4 4 6 3 4" xfId="913" xr:uid="{00000000-0005-0000-0000-0000EB040000}"/>
    <cellStyle name="Normal 4 4 6 3 4 2" xfId="1790" xr:uid="{00000000-0005-0000-0000-0000EC040000}"/>
    <cellStyle name="Normal 4 4 6 3 5" xfId="1133" xr:uid="{00000000-0005-0000-0000-0000ED040000}"/>
    <cellStyle name="Normal 4 4 6 4" xfId="329" xr:uid="{00000000-0005-0000-0000-0000EE040000}"/>
    <cellStyle name="Normal 4 4 6 4 2" xfId="1206" xr:uid="{00000000-0005-0000-0000-0000EF040000}"/>
    <cellStyle name="Normal 4 4 6 5" xfId="548" xr:uid="{00000000-0005-0000-0000-0000F0040000}"/>
    <cellStyle name="Normal 4 4 6 5 2" xfId="1425" xr:uid="{00000000-0005-0000-0000-0000F1040000}"/>
    <cellStyle name="Normal 4 4 6 6" xfId="767" xr:uid="{00000000-0005-0000-0000-0000F2040000}"/>
    <cellStyle name="Normal 4 4 6 6 2" xfId="1644" xr:uid="{00000000-0005-0000-0000-0000F3040000}"/>
    <cellStyle name="Normal 4 4 6 7" xfId="987" xr:uid="{00000000-0005-0000-0000-0000F4040000}"/>
    <cellStyle name="Normal 4 4 7" xfId="60" xr:uid="{00000000-0005-0000-0000-0000F5040000}"/>
    <cellStyle name="Normal 4 4 7 2" xfId="154" xr:uid="{00000000-0005-0000-0000-0000F6040000}"/>
    <cellStyle name="Normal 4 4 7 2 2" xfId="375" xr:uid="{00000000-0005-0000-0000-0000F7040000}"/>
    <cellStyle name="Normal 4 4 7 2 2 2" xfId="1252" xr:uid="{00000000-0005-0000-0000-0000F8040000}"/>
    <cellStyle name="Normal 4 4 7 2 3" xfId="594" xr:uid="{00000000-0005-0000-0000-0000F9040000}"/>
    <cellStyle name="Normal 4 4 7 2 3 2" xfId="1471" xr:uid="{00000000-0005-0000-0000-0000FA040000}"/>
    <cellStyle name="Normal 4 4 7 2 4" xfId="813" xr:uid="{00000000-0005-0000-0000-0000FB040000}"/>
    <cellStyle name="Normal 4 4 7 2 4 2" xfId="1690" xr:uid="{00000000-0005-0000-0000-0000FC040000}"/>
    <cellStyle name="Normal 4 4 7 2 5" xfId="1033" xr:uid="{00000000-0005-0000-0000-0000FD040000}"/>
    <cellStyle name="Normal 4 4 7 3" xfId="229" xr:uid="{00000000-0005-0000-0000-0000FE040000}"/>
    <cellStyle name="Normal 4 4 7 3 2" xfId="448" xr:uid="{00000000-0005-0000-0000-0000FF040000}"/>
    <cellStyle name="Normal 4 4 7 3 2 2" xfId="1325" xr:uid="{00000000-0005-0000-0000-000000050000}"/>
    <cellStyle name="Normal 4 4 7 3 3" xfId="667" xr:uid="{00000000-0005-0000-0000-000001050000}"/>
    <cellStyle name="Normal 4 4 7 3 3 2" xfId="1544" xr:uid="{00000000-0005-0000-0000-000002050000}"/>
    <cellStyle name="Normal 4 4 7 3 4" xfId="886" xr:uid="{00000000-0005-0000-0000-000003050000}"/>
    <cellStyle name="Normal 4 4 7 3 4 2" xfId="1763" xr:uid="{00000000-0005-0000-0000-000004050000}"/>
    <cellStyle name="Normal 4 4 7 3 5" xfId="1106" xr:uid="{00000000-0005-0000-0000-000005050000}"/>
    <cellStyle name="Normal 4 4 7 4" xfId="302" xr:uid="{00000000-0005-0000-0000-000006050000}"/>
    <cellStyle name="Normal 4 4 7 4 2" xfId="1179" xr:uid="{00000000-0005-0000-0000-000007050000}"/>
    <cellStyle name="Normal 4 4 7 5" xfId="521" xr:uid="{00000000-0005-0000-0000-000008050000}"/>
    <cellStyle name="Normal 4 4 7 5 2" xfId="1398" xr:uid="{00000000-0005-0000-0000-000009050000}"/>
    <cellStyle name="Normal 4 4 7 6" xfId="740" xr:uid="{00000000-0005-0000-0000-00000A050000}"/>
    <cellStyle name="Normal 4 4 7 6 2" xfId="1617" xr:uid="{00000000-0005-0000-0000-00000B050000}"/>
    <cellStyle name="Normal 4 4 7 7" xfId="959" xr:uid="{00000000-0005-0000-0000-00000C050000}"/>
    <cellStyle name="Normal 4 4 8" xfId="119" xr:uid="{00000000-0005-0000-0000-00000D050000}"/>
    <cellStyle name="Normal 4 4 8 2" xfId="196" xr:uid="{00000000-0005-0000-0000-00000E050000}"/>
    <cellStyle name="Normal 4 4 8 2 2" xfId="417" xr:uid="{00000000-0005-0000-0000-00000F050000}"/>
    <cellStyle name="Normal 4 4 8 2 2 2" xfId="1294" xr:uid="{00000000-0005-0000-0000-000010050000}"/>
    <cellStyle name="Normal 4 4 8 2 3" xfId="636" xr:uid="{00000000-0005-0000-0000-000011050000}"/>
    <cellStyle name="Normal 4 4 8 2 3 2" xfId="1513" xr:uid="{00000000-0005-0000-0000-000012050000}"/>
    <cellStyle name="Normal 4 4 8 2 4" xfId="855" xr:uid="{00000000-0005-0000-0000-000013050000}"/>
    <cellStyle name="Normal 4 4 8 2 4 2" xfId="1732" xr:uid="{00000000-0005-0000-0000-000014050000}"/>
    <cellStyle name="Normal 4 4 8 2 5" xfId="1075" xr:uid="{00000000-0005-0000-0000-000015050000}"/>
    <cellStyle name="Normal 4 4 8 3" xfId="271" xr:uid="{00000000-0005-0000-0000-000016050000}"/>
    <cellStyle name="Normal 4 4 8 3 2" xfId="490" xr:uid="{00000000-0005-0000-0000-000017050000}"/>
    <cellStyle name="Normal 4 4 8 3 2 2" xfId="1367" xr:uid="{00000000-0005-0000-0000-000018050000}"/>
    <cellStyle name="Normal 4 4 8 3 3" xfId="709" xr:uid="{00000000-0005-0000-0000-000019050000}"/>
    <cellStyle name="Normal 4 4 8 3 3 2" xfId="1586" xr:uid="{00000000-0005-0000-0000-00001A050000}"/>
    <cellStyle name="Normal 4 4 8 3 4" xfId="928" xr:uid="{00000000-0005-0000-0000-00001B050000}"/>
    <cellStyle name="Normal 4 4 8 3 4 2" xfId="1805" xr:uid="{00000000-0005-0000-0000-00001C050000}"/>
    <cellStyle name="Normal 4 4 8 3 5" xfId="1148" xr:uid="{00000000-0005-0000-0000-00001D050000}"/>
    <cellStyle name="Normal 4 4 8 4" xfId="344" xr:uid="{00000000-0005-0000-0000-00001E050000}"/>
    <cellStyle name="Normal 4 4 8 4 2" xfId="1221" xr:uid="{00000000-0005-0000-0000-00001F050000}"/>
    <cellStyle name="Normal 4 4 8 5" xfId="563" xr:uid="{00000000-0005-0000-0000-000020050000}"/>
    <cellStyle name="Normal 4 4 8 5 2" xfId="1440" xr:uid="{00000000-0005-0000-0000-000021050000}"/>
    <cellStyle name="Normal 4 4 8 6" xfId="782" xr:uid="{00000000-0005-0000-0000-000022050000}"/>
    <cellStyle name="Normal 4 4 8 6 2" xfId="1659" xr:uid="{00000000-0005-0000-0000-000023050000}"/>
    <cellStyle name="Normal 4 4 8 7" xfId="1002" xr:uid="{00000000-0005-0000-0000-000024050000}"/>
    <cellStyle name="Normal 4 4 9" xfId="47" xr:uid="{00000000-0005-0000-0000-000025050000}"/>
    <cellStyle name="Normal 4 4 9 2" xfId="141" xr:uid="{00000000-0005-0000-0000-000026050000}"/>
    <cellStyle name="Normal 4 4 9 2 2" xfId="362" xr:uid="{00000000-0005-0000-0000-000027050000}"/>
    <cellStyle name="Normal 4 4 9 2 2 2" xfId="1239" xr:uid="{00000000-0005-0000-0000-000028050000}"/>
    <cellStyle name="Normal 4 4 9 2 3" xfId="581" xr:uid="{00000000-0005-0000-0000-000029050000}"/>
    <cellStyle name="Normal 4 4 9 2 3 2" xfId="1458" xr:uid="{00000000-0005-0000-0000-00002A050000}"/>
    <cellStyle name="Normal 4 4 9 2 4" xfId="800" xr:uid="{00000000-0005-0000-0000-00002B050000}"/>
    <cellStyle name="Normal 4 4 9 2 4 2" xfId="1677" xr:uid="{00000000-0005-0000-0000-00002C050000}"/>
    <cellStyle name="Normal 4 4 9 2 5" xfId="1020" xr:uid="{00000000-0005-0000-0000-00002D050000}"/>
    <cellStyle name="Normal 4 4 9 3" xfId="216" xr:uid="{00000000-0005-0000-0000-00002E050000}"/>
    <cellStyle name="Normal 4 4 9 3 2" xfId="435" xr:uid="{00000000-0005-0000-0000-00002F050000}"/>
    <cellStyle name="Normal 4 4 9 3 2 2" xfId="1312" xr:uid="{00000000-0005-0000-0000-000030050000}"/>
    <cellStyle name="Normal 4 4 9 3 3" xfId="654" xr:uid="{00000000-0005-0000-0000-000031050000}"/>
    <cellStyle name="Normal 4 4 9 3 3 2" xfId="1531" xr:uid="{00000000-0005-0000-0000-000032050000}"/>
    <cellStyle name="Normal 4 4 9 3 4" xfId="873" xr:uid="{00000000-0005-0000-0000-000033050000}"/>
    <cellStyle name="Normal 4 4 9 3 4 2" xfId="1750" xr:uid="{00000000-0005-0000-0000-000034050000}"/>
    <cellStyle name="Normal 4 4 9 3 5" xfId="1093" xr:uid="{00000000-0005-0000-0000-000035050000}"/>
    <cellStyle name="Normal 4 4 9 4" xfId="289" xr:uid="{00000000-0005-0000-0000-000036050000}"/>
    <cellStyle name="Normal 4 4 9 4 2" xfId="1166" xr:uid="{00000000-0005-0000-0000-000037050000}"/>
    <cellStyle name="Normal 4 4 9 5" xfId="508" xr:uid="{00000000-0005-0000-0000-000038050000}"/>
    <cellStyle name="Normal 4 4 9 5 2" xfId="1385" xr:uid="{00000000-0005-0000-0000-000039050000}"/>
    <cellStyle name="Normal 4 4 9 6" xfId="727" xr:uid="{00000000-0005-0000-0000-00003A050000}"/>
    <cellStyle name="Normal 4 4 9 6 2" xfId="1604" xr:uid="{00000000-0005-0000-0000-00003B050000}"/>
    <cellStyle name="Normal 4 4 9 7" xfId="946" xr:uid="{00000000-0005-0000-0000-00003C050000}"/>
    <cellStyle name="Normal 4 5" xfId="49" xr:uid="{00000000-0005-0000-0000-00003D050000}"/>
    <cellStyle name="Normal 4 5 10" xfId="510" xr:uid="{00000000-0005-0000-0000-00003E050000}"/>
    <cellStyle name="Normal 4 5 10 2" xfId="1387" xr:uid="{00000000-0005-0000-0000-00003F050000}"/>
    <cellStyle name="Normal 4 5 11" xfId="729" xr:uid="{00000000-0005-0000-0000-000040050000}"/>
    <cellStyle name="Normal 4 5 11 2" xfId="1606" xr:uid="{00000000-0005-0000-0000-000041050000}"/>
    <cellStyle name="Normal 4 5 12" xfId="948" xr:uid="{00000000-0005-0000-0000-000042050000}"/>
    <cellStyle name="Normal 4 5 2" xfId="92" xr:uid="{00000000-0005-0000-0000-000043050000}"/>
    <cellStyle name="Normal 4 5 2 2" xfId="114" xr:uid="{00000000-0005-0000-0000-000044050000}"/>
    <cellStyle name="Normal 4 5 2 2 2" xfId="191" xr:uid="{00000000-0005-0000-0000-000045050000}"/>
    <cellStyle name="Normal 4 5 2 2 2 2" xfId="412" xr:uid="{00000000-0005-0000-0000-000046050000}"/>
    <cellStyle name="Normal 4 5 2 2 2 2 2" xfId="1289" xr:uid="{00000000-0005-0000-0000-000047050000}"/>
    <cellStyle name="Normal 4 5 2 2 2 3" xfId="631" xr:uid="{00000000-0005-0000-0000-000048050000}"/>
    <cellStyle name="Normal 4 5 2 2 2 3 2" xfId="1508" xr:uid="{00000000-0005-0000-0000-000049050000}"/>
    <cellStyle name="Normal 4 5 2 2 2 4" xfId="850" xr:uid="{00000000-0005-0000-0000-00004A050000}"/>
    <cellStyle name="Normal 4 5 2 2 2 4 2" xfId="1727" xr:uid="{00000000-0005-0000-0000-00004B050000}"/>
    <cellStyle name="Normal 4 5 2 2 2 5" xfId="1070" xr:uid="{00000000-0005-0000-0000-00004C050000}"/>
    <cellStyle name="Normal 4 5 2 2 3" xfId="266" xr:uid="{00000000-0005-0000-0000-00004D050000}"/>
    <cellStyle name="Normal 4 5 2 2 3 2" xfId="485" xr:uid="{00000000-0005-0000-0000-00004E050000}"/>
    <cellStyle name="Normal 4 5 2 2 3 2 2" xfId="1362" xr:uid="{00000000-0005-0000-0000-00004F050000}"/>
    <cellStyle name="Normal 4 5 2 2 3 3" xfId="704" xr:uid="{00000000-0005-0000-0000-000050050000}"/>
    <cellStyle name="Normal 4 5 2 2 3 3 2" xfId="1581" xr:uid="{00000000-0005-0000-0000-000051050000}"/>
    <cellStyle name="Normal 4 5 2 2 3 4" xfId="923" xr:uid="{00000000-0005-0000-0000-000052050000}"/>
    <cellStyle name="Normal 4 5 2 2 3 4 2" xfId="1800" xr:uid="{00000000-0005-0000-0000-000053050000}"/>
    <cellStyle name="Normal 4 5 2 2 3 5" xfId="1143" xr:uid="{00000000-0005-0000-0000-000054050000}"/>
    <cellStyle name="Normal 4 5 2 2 4" xfId="339" xr:uid="{00000000-0005-0000-0000-000055050000}"/>
    <cellStyle name="Normal 4 5 2 2 4 2" xfId="1216" xr:uid="{00000000-0005-0000-0000-000056050000}"/>
    <cellStyle name="Normal 4 5 2 2 5" xfId="558" xr:uid="{00000000-0005-0000-0000-000057050000}"/>
    <cellStyle name="Normal 4 5 2 2 5 2" xfId="1435" xr:uid="{00000000-0005-0000-0000-000058050000}"/>
    <cellStyle name="Normal 4 5 2 2 6" xfId="777" xr:uid="{00000000-0005-0000-0000-000059050000}"/>
    <cellStyle name="Normal 4 5 2 2 6 2" xfId="1654" xr:uid="{00000000-0005-0000-0000-00005A050000}"/>
    <cellStyle name="Normal 4 5 2 2 7" xfId="997" xr:uid="{00000000-0005-0000-0000-00005B050000}"/>
    <cellStyle name="Normal 4 5 2 3" xfId="176" xr:uid="{00000000-0005-0000-0000-00005C050000}"/>
    <cellStyle name="Normal 4 5 2 3 2" xfId="397" xr:uid="{00000000-0005-0000-0000-00005D050000}"/>
    <cellStyle name="Normal 4 5 2 3 2 2" xfId="1274" xr:uid="{00000000-0005-0000-0000-00005E050000}"/>
    <cellStyle name="Normal 4 5 2 3 3" xfId="616" xr:uid="{00000000-0005-0000-0000-00005F050000}"/>
    <cellStyle name="Normal 4 5 2 3 3 2" xfId="1493" xr:uid="{00000000-0005-0000-0000-000060050000}"/>
    <cellStyle name="Normal 4 5 2 3 4" xfId="835" xr:uid="{00000000-0005-0000-0000-000061050000}"/>
    <cellStyle name="Normal 4 5 2 3 4 2" xfId="1712" xr:uid="{00000000-0005-0000-0000-000062050000}"/>
    <cellStyle name="Normal 4 5 2 3 5" xfId="1055" xr:uid="{00000000-0005-0000-0000-000063050000}"/>
    <cellStyle name="Normal 4 5 2 4" xfId="251" xr:uid="{00000000-0005-0000-0000-000064050000}"/>
    <cellStyle name="Normal 4 5 2 4 2" xfId="470" xr:uid="{00000000-0005-0000-0000-000065050000}"/>
    <cellStyle name="Normal 4 5 2 4 2 2" xfId="1347" xr:uid="{00000000-0005-0000-0000-000066050000}"/>
    <cellStyle name="Normal 4 5 2 4 3" xfId="689" xr:uid="{00000000-0005-0000-0000-000067050000}"/>
    <cellStyle name="Normal 4 5 2 4 3 2" xfId="1566" xr:uid="{00000000-0005-0000-0000-000068050000}"/>
    <cellStyle name="Normal 4 5 2 4 4" xfId="908" xr:uid="{00000000-0005-0000-0000-000069050000}"/>
    <cellStyle name="Normal 4 5 2 4 4 2" xfId="1785" xr:uid="{00000000-0005-0000-0000-00006A050000}"/>
    <cellStyle name="Normal 4 5 2 4 5" xfId="1128" xr:uid="{00000000-0005-0000-0000-00006B050000}"/>
    <cellStyle name="Normal 4 5 2 5" xfId="324" xr:uid="{00000000-0005-0000-0000-00006C050000}"/>
    <cellStyle name="Normal 4 5 2 5 2" xfId="1201" xr:uid="{00000000-0005-0000-0000-00006D050000}"/>
    <cellStyle name="Normal 4 5 2 6" xfId="543" xr:uid="{00000000-0005-0000-0000-00006E050000}"/>
    <cellStyle name="Normal 4 5 2 6 2" xfId="1420" xr:uid="{00000000-0005-0000-0000-00006F050000}"/>
    <cellStyle name="Normal 4 5 2 7" xfId="762" xr:uid="{00000000-0005-0000-0000-000070050000}"/>
    <cellStyle name="Normal 4 5 2 7 2" xfId="1639" xr:uid="{00000000-0005-0000-0000-000071050000}"/>
    <cellStyle name="Normal 4 5 2 8" xfId="981" xr:uid="{00000000-0005-0000-0000-000072050000}"/>
    <cellStyle name="Normal 4 5 3" xfId="73" xr:uid="{00000000-0005-0000-0000-000073050000}"/>
    <cellStyle name="Normal 4 5 3 2" xfId="167" xr:uid="{00000000-0005-0000-0000-000074050000}"/>
    <cellStyle name="Normal 4 5 3 2 2" xfId="388" xr:uid="{00000000-0005-0000-0000-000075050000}"/>
    <cellStyle name="Normal 4 5 3 2 2 2" xfId="1265" xr:uid="{00000000-0005-0000-0000-000076050000}"/>
    <cellStyle name="Normal 4 5 3 2 3" xfId="607" xr:uid="{00000000-0005-0000-0000-000077050000}"/>
    <cellStyle name="Normal 4 5 3 2 3 2" xfId="1484" xr:uid="{00000000-0005-0000-0000-000078050000}"/>
    <cellStyle name="Normal 4 5 3 2 4" xfId="826" xr:uid="{00000000-0005-0000-0000-000079050000}"/>
    <cellStyle name="Normal 4 5 3 2 4 2" xfId="1703" xr:uid="{00000000-0005-0000-0000-00007A050000}"/>
    <cellStyle name="Normal 4 5 3 2 5" xfId="1046" xr:uid="{00000000-0005-0000-0000-00007B050000}"/>
    <cellStyle name="Normal 4 5 3 3" xfId="242" xr:uid="{00000000-0005-0000-0000-00007C050000}"/>
    <cellStyle name="Normal 4 5 3 3 2" xfId="461" xr:uid="{00000000-0005-0000-0000-00007D050000}"/>
    <cellStyle name="Normal 4 5 3 3 2 2" xfId="1338" xr:uid="{00000000-0005-0000-0000-00007E050000}"/>
    <cellStyle name="Normal 4 5 3 3 3" xfId="680" xr:uid="{00000000-0005-0000-0000-00007F050000}"/>
    <cellStyle name="Normal 4 5 3 3 3 2" xfId="1557" xr:uid="{00000000-0005-0000-0000-000080050000}"/>
    <cellStyle name="Normal 4 5 3 3 4" xfId="899" xr:uid="{00000000-0005-0000-0000-000081050000}"/>
    <cellStyle name="Normal 4 5 3 3 4 2" xfId="1776" xr:uid="{00000000-0005-0000-0000-000082050000}"/>
    <cellStyle name="Normal 4 5 3 3 5" xfId="1119" xr:uid="{00000000-0005-0000-0000-000083050000}"/>
    <cellStyle name="Normal 4 5 3 4" xfId="315" xr:uid="{00000000-0005-0000-0000-000084050000}"/>
    <cellStyle name="Normal 4 5 3 4 2" xfId="1192" xr:uid="{00000000-0005-0000-0000-000085050000}"/>
    <cellStyle name="Normal 4 5 3 5" xfId="534" xr:uid="{00000000-0005-0000-0000-000086050000}"/>
    <cellStyle name="Normal 4 5 3 5 2" xfId="1411" xr:uid="{00000000-0005-0000-0000-000087050000}"/>
    <cellStyle name="Normal 4 5 3 6" xfId="753" xr:uid="{00000000-0005-0000-0000-000088050000}"/>
    <cellStyle name="Normal 4 5 3 6 2" xfId="1630" xr:uid="{00000000-0005-0000-0000-000089050000}"/>
    <cellStyle name="Normal 4 5 3 7" xfId="972" xr:uid="{00000000-0005-0000-0000-00008A050000}"/>
    <cellStyle name="Normal 4 5 4" xfId="105" xr:uid="{00000000-0005-0000-0000-00008B050000}"/>
    <cellStyle name="Normal 4 5 4 2" xfId="182" xr:uid="{00000000-0005-0000-0000-00008C050000}"/>
    <cellStyle name="Normal 4 5 4 2 2" xfId="403" xr:uid="{00000000-0005-0000-0000-00008D050000}"/>
    <cellStyle name="Normal 4 5 4 2 2 2" xfId="1280" xr:uid="{00000000-0005-0000-0000-00008E050000}"/>
    <cellStyle name="Normal 4 5 4 2 3" xfId="622" xr:uid="{00000000-0005-0000-0000-00008F050000}"/>
    <cellStyle name="Normal 4 5 4 2 3 2" xfId="1499" xr:uid="{00000000-0005-0000-0000-000090050000}"/>
    <cellStyle name="Normal 4 5 4 2 4" xfId="841" xr:uid="{00000000-0005-0000-0000-000091050000}"/>
    <cellStyle name="Normal 4 5 4 2 4 2" xfId="1718" xr:uid="{00000000-0005-0000-0000-000092050000}"/>
    <cellStyle name="Normal 4 5 4 2 5" xfId="1061" xr:uid="{00000000-0005-0000-0000-000093050000}"/>
    <cellStyle name="Normal 4 5 4 3" xfId="257" xr:uid="{00000000-0005-0000-0000-000094050000}"/>
    <cellStyle name="Normal 4 5 4 3 2" xfId="476" xr:uid="{00000000-0005-0000-0000-000095050000}"/>
    <cellStyle name="Normal 4 5 4 3 2 2" xfId="1353" xr:uid="{00000000-0005-0000-0000-000096050000}"/>
    <cellStyle name="Normal 4 5 4 3 3" xfId="695" xr:uid="{00000000-0005-0000-0000-000097050000}"/>
    <cellStyle name="Normal 4 5 4 3 3 2" xfId="1572" xr:uid="{00000000-0005-0000-0000-000098050000}"/>
    <cellStyle name="Normal 4 5 4 3 4" xfId="914" xr:uid="{00000000-0005-0000-0000-000099050000}"/>
    <cellStyle name="Normal 4 5 4 3 4 2" xfId="1791" xr:uid="{00000000-0005-0000-0000-00009A050000}"/>
    <cellStyle name="Normal 4 5 4 3 5" xfId="1134" xr:uid="{00000000-0005-0000-0000-00009B050000}"/>
    <cellStyle name="Normal 4 5 4 4" xfId="330" xr:uid="{00000000-0005-0000-0000-00009C050000}"/>
    <cellStyle name="Normal 4 5 4 4 2" xfId="1207" xr:uid="{00000000-0005-0000-0000-00009D050000}"/>
    <cellStyle name="Normal 4 5 4 5" xfId="549" xr:uid="{00000000-0005-0000-0000-00009E050000}"/>
    <cellStyle name="Normal 4 5 4 5 2" xfId="1426" xr:uid="{00000000-0005-0000-0000-00009F050000}"/>
    <cellStyle name="Normal 4 5 4 6" xfId="768" xr:uid="{00000000-0005-0000-0000-0000A0050000}"/>
    <cellStyle name="Normal 4 5 4 6 2" xfId="1645" xr:uid="{00000000-0005-0000-0000-0000A1050000}"/>
    <cellStyle name="Normal 4 5 4 7" xfId="988" xr:uid="{00000000-0005-0000-0000-0000A2050000}"/>
    <cellStyle name="Normal 4 5 5" xfId="65" xr:uid="{00000000-0005-0000-0000-0000A3050000}"/>
    <cellStyle name="Normal 4 5 5 2" xfId="159" xr:uid="{00000000-0005-0000-0000-0000A4050000}"/>
    <cellStyle name="Normal 4 5 5 2 2" xfId="380" xr:uid="{00000000-0005-0000-0000-0000A5050000}"/>
    <cellStyle name="Normal 4 5 5 2 2 2" xfId="1257" xr:uid="{00000000-0005-0000-0000-0000A6050000}"/>
    <cellStyle name="Normal 4 5 5 2 3" xfId="599" xr:uid="{00000000-0005-0000-0000-0000A7050000}"/>
    <cellStyle name="Normal 4 5 5 2 3 2" xfId="1476" xr:uid="{00000000-0005-0000-0000-0000A8050000}"/>
    <cellStyle name="Normal 4 5 5 2 4" xfId="818" xr:uid="{00000000-0005-0000-0000-0000A9050000}"/>
    <cellStyle name="Normal 4 5 5 2 4 2" xfId="1695" xr:uid="{00000000-0005-0000-0000-0000AA050000}"/>
    <cellStyle name="Normal 4 5 5 2 5" xfId="1038" xr:uid="{00000000-0005-0000-0000-0000AB050000}"/>
    <cellStyle name="Normal 4 5 5 3" xfId="234" xr:uid="{00000000-0005-0000-0000-0000AC050000}"/>
    <cellStyle name="Normal 4 5 5 3 2" xfId="453" xr:uid="{00000000-0005-0000-0000-0000AD050000}"/>
    <cellStyle name="Normal 4 5 5 3 2 2" xfId="1330" xr:uid="{00000000-0005-0000-0000-0000AE050000}"/>
    <cellStyle name="Normal 4 5 5 3 3" xfId="672" xr:uid="{00000000-0005-0000-0000-0000AF050000}"/>
    <cellStyle name="Normal 4 5 5 3 3 2" xfId="1549" xr:uid="{00000000-0005-0000-0000-0000B0050000}"/>
    <cellStyle name="Normal 4 5 5 3 4" xfId="891" xr:uid="{00000000-0005-0000-0000-0000B1050000}"/>
    <cellStyle name="Normal 4 5 5 3 4 2" xfId="1768" xr:uid="{00000000-0005-0000-0000-0000B2050000}"/>
    <cellStyle name="Normal 4 5 5 3 5" xfId="1111" xr:uid="{00000000-0005-0000-0000-0000B3050000}"/>
    <cellStyle name="Normal 4 5 5 4" xfId="307" xr:uid="{00000000-0005-0000-0000-0000B4050000}"/>
    <cellStyle name="Normal 4 5 5 4 2" xfId="1184" xr:uid="{00000000-0005-0000-0000-0000B5050000}"/>
    <cellStyle name="Normal 4 5 5 5" xfId="526" xr:uid="{00000000-0005-0000-0000-0000B6050000}"/>
    <cellStyle name="Normal 4 5 5 5 2" xfId="1403" xr:uid="{00000000-0005-0000-0000-0000B7050000}"/>
    <cellStyle name="Normal 4 5 5 6" xfId="745" xr:uid="{00000000-0005-0000-0000-0000B8050000}"/>
    <cellStyle name="Normal 4 5 5 6 2" xfId="1622" xr:uid="{00000000-0005-0000-0000-0000B9050000}"/>
    <cellStyle name="Normal 4 5 5 7" xfId="964" xr:uid="{00000000-0005-0000-0000-0000BA050000}"/>
    <cellStyle name="Normal 4 5 6" xfId="120" xr:uid="{00000000-0005-0000-0000-0000BB050000}"/>
    <cellStyle name="Normal 4 5 6 2" xfId="197" xr:uid="{00000000-0005-0000-0000-0000BC050000}"/>
    <cellStyle name="Normal 4 5 6 2 2" xfId="418" xr:uid="{00000000-0005-0000-0000-0000BD050000}"/>
    <cellStyle name="Normal 4 5 6 2 2 2" xfId="1295" xr:uid="{00000000-0005-0000-0000-0000BE050000}"/>
    <cellStyle name="Normal 4 5 6 2 3" xfId="637" xr:uid="{00000000-0005-0000-0000-0000BF050000}"/>
    <cellStyle name="Normal 4 5 6 2 3 2" xfId="1514" xr:uid="{00000000-0005-0000-0000-0000C0050000}"/>
    <cellStyle name="Normal 4 5 6 2 4" xfId="856" xr:uid="{00000000-0005-0000-0000-0000C1050000}"/>
    <cellStyle name="Normal 4 5 6 2 4 2" xfId="1733" xr:uid="{00000000-0005-0000-0000-0000C2050000}"/>
    <cellStyle name="Normal 4 5 6 2 5" xfId="1076" xr:uid="{00000000-0005-0000-0000-0000C3050000}"/>
    <cellStyle name="Normal 4 5 6 3" xfId="272" xr:uid="{00000000-0005-0000-0000-0000C4050000}"/>
    <cellStyle name="Normal 4 5 6 3 2" xfId="491" xr:uid="{00000000-0005-0000-0000-0000C5050000}"/>
    <cellStyle name="Normal 4 5 6 3 2 2" xfId="1368" xr:uid="{00000000-0005-0000-0000-0000C6050000}"/>
    <cellStyle name="Normal 4 5 6 3 3" xfId="710" xr:uid="{00000000-0005-0000-0000-0000C7050000}"/>
    <cellStyle name="Normal 4 5 6 3 3 2" xfId="1587" xr:uid="{00000000-0005-0000-0000-0000C8050000}"/>
    <cellStyle name="Normal 4 5 6 3 4" xfId="929" xr:uid="{00000000-0005-0000-0000-0000C9050000}"/>
    <cellStyle name="Normal 4 5 6 3 4 2" xfId="1806" xr:uid="{00000000-0005-0000-0000-0000CA050000}"/>
    <cellStyle name="Normal 4 5 6 3 5" xfId="1149" xr:uid="{00000000-0005-0000-0000-0000CB050000}"/>
    <cellStyle name="Normal 4 5 6 4" xfId="345" xr:uid="{00000000-0005-0000-0000-0000CC050000}"/>
    <cellStyle name="Normal 4 5 6 4 2" xfId="1222" xr:uid="{00000000-0005-0000-0000-0000CD050000}"/>
    <cellStyle name="Normal 4 5 6 5" xfId="564" xr:uid="{00000000-0005-0000-0000-0000CE050000}"/>
    <cellStyle name="Normal 4 5 6 5 2" xfId="1441" xr:uid="{00000000-0005-0000-0000-0000CF050000}"/>
    <cellStyle name="Normal 4 5 6 6" xfId="783" xr:uid="{00000000-0005-0000-0000-0000D0050000}"/>
    <cellStyle name="Normal 4 5 6 6 2" xfId="1660" xr:uid="{00000000-0005-0000-0000-0000D1050000}"/>
    <cellStyle name="Normal 4 5 6 7" xfId="1003" xr:uid="{00000000-0005-0000-0000-0000D2050000}"/>
    <cellStyle name="Normal 4 5 7" xfId="143" xr:uid="{00000000-0005-0000-0000-0000D3050000}"/>
    <cellStyle name="Normal 4 5 7 2" xfId="364" xr:uid="{00000000-0005-0000-0000-0000D4050000}"/>
    <cellStyle name="Normal 4 5 7 2 2" xfId="1241" xr:uid="{00000000-0005-0000-0000-0000D5050000}"/>
    <cellStyle name="Normal 4 5 7 3" xfId="583" xr:uid="{00000000-0005-0000-0000-0000D6050000}"/>
    <cellStyle name="Normal 4 5 7 3 2" xfId="1460" xr:uid="{00000000-0005-0000-0000-0000D7050000}"/>
    <cellStyle name="Normal 4 5 7 4" xfId="802" xr:uid="{00000000-0005-0000-0000-0000D8050000}"/>
    <cellStyle name="Normal 4 5 7 4 2" xfId="1679" xr:uid="{00000000-0005-0000-0000-0000D9050000}"/>
    <cellStyle name="Normal 4 5 7 5" xfId="1022" xr:uid="{00000000-0005-0000-0000-0000DA050000}"/>
    <cellStyle name="Normal 4 5 8" xfId="218" xr:uid="{00000000-0005-0000-0000-0000DB050000}"/>
    <cellStyle name="Normal 4 5 8 2" xfId="437" xr:uid="{00000000-0005-0000-0000-0000DC050000}"/>
    <cellStyle name="Normal 4 5 8 2 2" xfId="1314" xr:uid="{00000000-0005-0000-0000-0000DD050000}"/>
    <cellStyle name="Normal 4 5 8 3" xfId="656" xr:uid="{00000000-0005-0000-0000-0000DE050000}"/>
    <cellStyle name="Normal 4 5 8 3 2" xfId="1533" xr:uid="{00000000-0005-0000-0000-0000DF050000}"/>
    <cellStyle name="Normal 4 5 8 4" xfId="875" xr:uid="{00000000-0005-0000-0000-0000E0050000}"/>
    <cellStyle name="Normal 4 5 8 4 2" xfId="1752" xr:uid="{00000000-0005-0000-0000-0000E1050000}"/>
    <cellStyle name="Normal 4 5 8 5" xfId="1095" xr:uid="{00000000-0005-0000-0000-0000E2050000}"/>
    <cellStyle name="Normal 4 5 9" xfId="291" xr:uid="{00000000-0005-0000-0000-0000E3050000}"/>
    <cellStyle name="Normal 4 5 9 2" xfId="1168" xr:uid="{00000000-0005-0000-0000-0000E4050000}"/>
    <cellStyle name="Normal 4 6" xfId="53" xr:uid="{00000000-0005-0000-0000-0000E5050000}"/>
    <cellStyle name="Normal 4 6 2" xfId="110" xr:uid="{00000000-0005-0000-0000-0000E6050000}"/>
    <cellStyle name="Normal 4 6 2 2" xfId="187" xr:uid="{00000000-0005-0000-0000-0000E7050000}"/>
    <cellStyle name="Normal 4 6 2 2 2" xfId="408" xr:uid="{00000000-0005-0000-0000-0000E8050000}"/>
    <cellStyle name="Normal 4 6 2 2 2 2" xfId="1285" xr:uid="{00000000-0005-0000-0000-0000E9050000}"/>
    <cellStyle name="Normal 4 6 2 2 3" xfId="627" xr:uid="{00000000-0005-0000-0000-0000EA050000}"/>
    <cellStyle name="Normal 4 6 2 2 3 2" xfId="1504" xr:uid="{00000000-0005-0000-0000-0000EB050000}"/>
    <cellStyle name="Normal 4 6 2 2 4" xfId="846" xr:uid="{00000000-0005-0000-0000-0000EC050000}"/>
    <cellStyle name="Normal 4 6 2 2 4 2" xfId="1723" xr:uid="{00000000-0005-0000-0000-0000ED050000}"/>
    <cellStyle name="Normal 4 6 2 2 5" xfId="1066" xr:uid="{00000000-0005-0000-0000-0000EE050000}"/>
    <cellStyle name="Normal 4 6 2 3" xfId="262" xr:uid="{00000000-0005-0000-0000-0000EF050000}"/>
    <cellStyle name="Normal 4 6 2 3 2" xfId="481" xr:uid="{00000000-0005-0000-0000-0000F0050000}"/>
    <cellStyle name="Normal 4 6 2 3 2 2" xfId="1358" xr:uid="{00000000-0005-0000-0000-0000F1050000}"/>
    <cellStyle name="Normal 4 6 2 3 3" xfId="700" xr:uid="{00000000-0005-0000-0000-0000F2050000}"/>
    <cellStyle name="Normal 4 6 2 3 3 2" xfId="1577" xr:uid="{00000000-0005-0000-0000-0000F3050000}"/>
    <cellStyle name="Normal 4 6 2 3 4" xfId="919" xr:uid="{00000000-0005-0000-0000-0000F4050000}"/>
    <cellStyle name="Normal 4 6 2 3 4 2" xfId="1796" xr:uid="{00000000-0005-0000-0000-0000F5050000}"/>
    <cellStyle name="Normal 4 6 2 3 5" xfId="1139" xr:uid="{00000000-0005-0000-0000-0000F6050000}"/>
    <cellStyle name="Normal 4 6 2 4" xfId="335" xr:uid="{00000000-0005-0000-0000-0000F7050000}"/>
    <cellStyle name="Normal 4 6 2 4 2" xfId="1212" xr:uid="{00000000-0005-0000-0000-0000F8050000}"/>
    <cellStyle name="Normal 4 6 2 5" xfId="554" xr:uid="{00000000-0005-0000-0000-0000F9050000}"/>
    <cellStyle name="Normal 4 6 2 5 2" xfId="1431" xr:uid="{00000000-0005-0000-0000-0000FA050000}"/>
    <cellStyle name="Normal 4 6 2 6" xfId="773" xr:uid="{00000000-0005-0000-0000-0000FB050000}"/>
    <cellStyle name="Normal 4 6 2 6 2" xfId="1650" xr:uid="{00000000-0005-0000-0000-0000FC050000}"/>
    <cellStyle name="Normal 4 6 2 7" xfId="993" xr:uid="{00000000-0005-0000-0000-0000FD050000}"/>
    <cellStyle name="Normal 4 6 3" xfId="84" xr:uid="{00000000-0005-0000-0000-0000FE050000}"/>
    <cellStyle name="Normal 4 6 3 2" xfId="172" xr:uid="{00000000-0005-0000-0000-0000FF050000}"/>
    <cellStyle name="Normal 4 6 3 2 2" xfId="393" xr:uid="{00000000-0005-0000-0000-000000060000}"/>
    <cellStyle name="Normal 4 6 3 2 2 2" xfId="1270" xr:uid="{00000000-0005-0000-0000-000001060000}"/>
    <cellStyle name="Normal 4 6 3 2 3" xfId="612" xr:uid="{00000000-0005-0000-0000-000002060000}"/>
    <cellStyle name="Normal 4 6 3 2 3 2" xfId="1489" xr:uid="{00000000-0005-0000-0000-000003060000}"/>
    <cellStyle name="Normal 4 6 3 2 4" xfId="831" xr:uid="{00000000-0005-0000-0000-000004060000}"/>
    <cellStyle name="Normal 4 6 3 2 4 2" xfId="1708" xr:uid="{00000000-0005-0000-0000-000005060000}"/>
    <cellStyle name="Normal 4 6 3 2 5" xfId="1051" xr:uid="{00000000-0005-0000-0000-000006060000}"/>
    <cellStyle name="Normal 4 6 3 3" xfId="247" xr:uid="{00000000-0005-0000-0000-000007060000}"/>
    <cellStyle name="Normal 4 6 3 3 2" xfId="466" xr:uid="{00000000-0005-0000-0000-000008060000}"/>
    <cellStyle name="Normal 4 6 3 3 2 2" xfId="1343" xr:uid="{00000000-0005-0000-0000-000009060000}"/>
    <cellStyle name="Normal 4 6 3 3 3" xfId="685" xr:uid="{00000000-0005-0000-0000-00000A060000}"/>
    <cellStyle name="Normal 4 6 3 3 3 2" xfId="1562" xr:uid="{00000000-0005-0000-0000-00000B060000}"/>
    <cellStyle name="Normal 4 6 3 3 4" xfId="904" xr:uid="{00000000-0005-0000-0000-00000C060000}"/>
    <cellStyle name="Normal 4 6 3 3 4 2" xfId="1781" xr:uid="{00000000-0005-0000-0000-00000D060000}"/>
    <cellStyle name="Normal 4 6 3 3 5" xfId="1124" xr:uid="{00000000-0005-0000-0000-00000E060000}"/>
    <cellStyle name="Normal 4 6 3 4" xfId="320" xr:uid="{00000000-0005-0000-0000-00000F060000}"/>
    <cellStyle name="Normal 4 6 3 4 2" xfId="1197" xr:uid="{00000000-0005-0000-0000-000010060000}"/>
    <cellStyle name="Normal 4 6 3 5" xfId="539" xr:uid="{00000000-0005-0000-0000-000011060000}"/>
    <cellStyle name="Normal 4 6 3 5 2" xfId="1416" xr:uid="{00000000-0005-0000-0000-000012060000}"/>
    <cellStyle name="Normal 4 6 3 6" xfId="758" xr:uid="{00000000-0005-0000-0000-000013060000}"/>
    <cellStyle name="Normal 4 6 3 6 2" xfId="1635" xr:uid="{00000000-0005-0000-0000-000014060000}"/>
    <cellStyle name="Normal 4 6 3 7" xfId="977" xr:uid="{00000000-0005-0000-0000-000015060000}"/>
    <cellStyle name="Normal 4 6 4" xfId="147" xr:uid="{00000000-0005-0000-0000-000016060000}"/>
    <cellStyle name="Normal 4 6 4 2" xfId="368" xr:uid="{00000000-0005-0000-0000-000017060000}"/>
    <cellStyle name="Normal 4 6 4 2 2" xfId="1245" xr:uid="{00000000-0005-0000-0000-000018060000}"/>
    <cellStyle name="Normal 4 6 4 3" xfId="587" xr:uid="{00000000-0005-0000-0000-000019060000}"/>
    <cellStyle name="Normal 4 6 4 3 2" xfId="1464" xr:uid="{00000000-0005-0000-0000-00001A060000}"/>
    <cellStyle name="Normal 4 6 4 4" xfId="806" xr:uid="{00000000-0005-0000-0000-00001B060000}"/>
    <cellStyle name="Normal 4 6 4 4 2" xfId="1683" xr:uid="{00000000-0005-0000-0000-00001C060000}"/>
    <cellStyle name="Normal 4 6 4 5" xfId="1026" xr:uid="{00000000-0005-0000-0000-00001D060000}"/>
    <cellStyle name="Normal 4 6 5" xfId="222" xr:uid="{00000000-0005-0000-0000-00001E060000}"/>
    <cellStyle name="Normal 4 6 5 2" xfId="441" xr:uid="{00000000-0005-0000-0000-00001F060000}"/>
    <cellStyle name="Normal 4 6 5 2 2" xfId="1318" xr:uid="{00000000-0005-0000-0000-000020060000}"/>
    <cellStyle name="Normal 4 6 5 3" xfId="660" xr:uid="{00000000-0005-0000-0000-000021060000}"/>
    <cellStyle name="Normal 4 6 5 3 2" xfId="1537" xr:uid="{00000000-0005-0000-0000-000022060000}"/>
    <cellStyle name="Normal 4 6 5 4" xfId="879" xr:uid="{00000000-0005-0000-0000-000023060000}"/>
    <cellStyle name="Normal 4 6 5 4 2" xfId="1756" xr:uid="{00000000-0005-0000-0000-000024060000}"/>
    <cellStyle name="Normal 4 6 5 5" xfId="1099" xr:uid="{00000000-0005-0000-0000-000025060000}"/>
    <cellStyle name="Normal 4 6 6" xfId="295" xr:uid="{00000000-0005-0000-0000-000026060000}"/>
    <cellStyle name="Normal 4 6 6 2" xfId="1172" xr:uid="{00000000-0005-0000-0000-000027060000}"/>
    <cellStyle name="Normal 4 6 7" xfId="514" xr:uid="{00000000-0005-0000-0000-000028060000}"/>
    <cellStyle name="Normal 4 6 7 2" xfId="1391" xr:uid="{00000000-0005-0000-0000-000029060000}"/>
    <cellStyle name="Normal 4 6 8" xfId="733" xr:uid="{00000000-0005-0000-0000-00002A060000}"/>
    <cellStyle name="Normal 4 6 8 2" xfId="1610" xr:uid="{00000000-0005-0000-0000-00002B060000}"/>
    <cellStyle name="Normal 4 6 9" xfId="952" xr:uid="{00000000-0005-0000-0000-00002C060000}"/>
    <cellStyle name="Normal 4 7" xfId="69" xr:uid="{00000000-0005-0000-0000-00002D060000}"/>
    <cellStyle name="Normal 4 7 2" xfId="163" xr:uid="{00000000-0005-0000-0000-00002E060000}"/>
    <cellStyle name="Normal 4 7 2 2" xfId="384" xr:uid="{00000000-0005-0000-0000-00002F060000}"/>
    <cellStyle name="Normal 4 7 2 2 2" xfId="1261" xr:uid="{00000000-0005-0000-0000-000030060000}"/>
    <cellStyle name="Normal 4 7 2 3" xfId="603" xr:uid="{00000000-0005-0000-0000-000031060000}"/>
    <cellStyle name="Normal 4 7 2 3 2" xfId="1480" xr:uid="{00000000-0005-0000-0000-000032060000}"/>
    <cellStyle name="Normal 4 7 2 4" xfId="822" xr:uid="{00000000-0005-0000-0000-000033060000}"/>
    <cellStyle name="Normal 4 7 2 4 2" xfId="1699" xr:uid="{00000000-0005-0000-0000-000034060000}"/>
    <cellStyle name="Normal 4 7 2 5" xfId="1042" xr:uid="{00000000-0005-0000-0000-000035060000}"/>
    <cellStyle name="Normal 4 7 3" xfId="238" xr:uid="{00000000-0005-0000-0000-000036060000}"/>
    <cellStyle name="Normal 4 7 3 2" xfId="457" xr:uid="{00000000-0005-0000-0000-000037060000}"/>
    <cellStyle name="Normal 4 7 3 2 2" xfId="1334" xr:uid="{00000000-0005-0000-0000-000038060000}"/>
    <cellStyle name="Normal 4 7 3 3" xfId="676" xr:uid="{00000000-0005-0000-0000-000039060000}"/>
    <cellStyle name="Normal 4 7 3 3 2" xfId="1553" xr:uid="{00000000-0005-0000-0000-00003A060000}"/>
    <cellStyle name="Normal 4 7 3 4" xfId="895" xr:uid="{00000000-0005-0000-0000-00003B060000}"/>
    <cellStyle name="Normal 4 7 3 4 2" xfId="1772" xr:uid="{00000000-0005-0000-0000-00003C060000}"/>
    <cellStyle name="Normal 4 7 3 5" xfId="1115" xr:uid="{00000000-0005-0000-0000-00003D060000}"/>
    <cellStyle name="Normal 4 7 4" xfId="311" xr:uid="{00000000-0005-0000-0000-00003E060000}"/>
    <cellStyle name="Normal 4 7 4 2" xfId="1188" xr:uid="{00000000-0005-0000-0000-00003F060000}"/>
    <cellStyle name="Normal 4 7 5" xfId="530" xr:uid="{00000000-0005-0000-0000-000040060000}"/>
    <cellStyle name="Normal 4 7 5 2" xfId="1407" xr:uid="{00000000-0005-0000-0000-000041060000}"/>
    <cellStyle name="Normal 4 7 6" xfId="749" xr:uid="{00000000-0005-0000-0000-000042060000}"/>
    <cellStyle name="Normal 4 7 6 2" xfId="1626" xr:uid="{00000000-0005-0000-0000-000043060000}"/>
    <cellStyle name="Normal 4 7 7" xfId="968" xr:uid="{00000000-0005-0000-0000-000044060000}"/>
    <cellStyle name="Normal 4 8" xfId="61" xr:uid="{00000000-0005-0000-0000-000045060000}"/>
    <cellStyle name="Normal 4 8 2" xfId="155" xr:uid="{00000000-0005-0000-0000-000046060000}"/>
    <cellStyle name="Normal 4 8 2 2" xfId="376" xr:uid="{00000000-0005-0000-0000-000047060000}"/>
    <cellStyle name="Normal 4 8 2 2 2" xfId="1253" xr:uid="{00000000-0005-0000-0000-000048060000}"/>
    <cellStyle name="Normal 4 8 2 3" xfId="595" xr:uid="{00000000-0005-0000-0000-000049060000}"/>
    <cellStyle name="Normal 4 8 2 3 2" xfId="1472" xr:uid="{00000000-0005-0000-0000-00004A060000}"/>
    <cellStyle name="Normal 4 8 2 4" xfId="814" xr:uid="{00000000-0005-0000-0000-00004B060000}"/>
    <cellStyle name="Normal 4 8 2 4 2" xfId="1691" xr:uid="{00000000-0005-0000-0000-00004C060000}"/>
    <cellStyle name="Normal 4 8 2 5" xfId="1034" xr:uid="{00000000-0005-0000-0000-00004D060000}"/>
    <cellStyle name="Normal 4 8 3" xfId="230" xr:uid="{00000000-0005-0000-0000-00004E060000}"/>
    <cellStyle name="Normal 4 8 3 2" xfId="449" xr:uid="{00000000-0005-0000-0000-00004F060000}"/>
    <cellStyle name="Normal 4 8 3 2 2" xfId="1326" xr:uid="{00000000-0005-0000-0000-000050060000}"/>
    <cellStyle name="Normal 4 8 3 3" xfId="668" xr:uid="{00000000-0005-0000-0000-000051060000}"/>
    <cellStyle name="Normal 4 8 3 3 2" xfId="1545" xr:uid="{00000000-0005-0000-0000-000052060000}"/>
    <cellStyle name="Normal 4 8 3 4" xfId="887" xr:uid="{00000000-0005-0000-0000-000053060000}"/>
    <cellStyle name="Normal 4 8 3 4 2" xfId="1764" xr:uid="{00000000-0005-0000-0000-000054060000}"/>
    <cellStyle name="Normal 4 8 3 5" xfId="1107" xr:uid="{00000000-0005-0000-0000-000055060000}"/>
    <cellStyle name="Normal 4 8 4" xfId="303" xr:uid="{00000000-0005-0000-0000-000056060000}"/>
    <cellStyle name="Normal 4 8 4 2" xfId="1180" xr:uid="{00000000-0005-0000-0000-000057060000}"/>
    <cellStyle name="Normal 4 8 5" xfId="522" xr:uid="{00000000-0005-0000-0000-000058060000}"/>
    <cellStyle name="Normal 4 8 5 2" xfId="1399" xr:uid="{00000000-0005-0000-0000-000059060000}"/>
    <cellStyle name="Normal 4 8 6" xfId="741" xr:uid="{00000000-0005-0000-0000-00005A060000}"/>
    <cellStyle name="Normal 4 8 6 2" xfId="1618" xr:uid="{00000000-0005-0000-0000-00005B060000}"/>
    <cellStyle name="Normal 4 8 7" xfId="960" xr:uid="{00000000-0005-0000-0000-00005C060000}"/>
    <cellStyle name="Normal 4 9" xfId="101" xr:uid="{00000000-0005-0000-0000-00005D060000}"/>
    <cellStyle name="Normal 4 9 2" xfId="178" xr:uid="{00000000-0005-0000-0000-00005E060000}"/>
    <cellStyle name="Normal 4 9 2 2" xfId="399" xr:uid="{00000000-0005-0000-0000-00005F060000}"/>
    <cellStyle name="Normal 4 9 2 2 2" xfId="1276" xr:uid="{00000000-0005-0000-0000-000060060000}"/>
    <cellStyle name="Normal 4 9 2 3" xfId="618" xr:uid="{00000000-0005-0000-0000-000061060000}"/>
    <cellStyle name="Normal 4 9 2 3 2" xfId="1495" xr:uid="{00000000-0005-0000-0000-000062060000}"/>
    <cellStyle name="Normal 4 9 2 4" xfId="837" xr:uid="{00000000-0005-0000-0000-000063060000}"/>
    <cellStyle name="Normal 4 9 2 4 2" xfId="1714" xr:uid="{00000000-0005-0000-0000-000064060000}"/>
    <cellStyle name="Normal 4 9 2 5" xfId="1057" xr:uid="{00000000-0005-0000-0000-000065060000}"/>
    <cellStyle name="Normal 4 9 3" xfId="253" xr:uid="{00000000-0005-0000-0000-000066060000}"/>
    <cellStyle name="Normal 4 9 3 2" xfId="472" xr:uid="{00000000-0005-0000-0000-000067060000}"/>
    <cellStyle name="Normal 4 9 3 2 2" xfId="1349" xr:uid="{00000000-0005-0000-0000-000068060000}"/>
    <cellStyle name="Normal 4 9 3 3" xfId="691" xr:uid="{00000000-0005-0000-0000-000069060000}"/>
    <cellStyle name="Normal 4 9 3 3 2" xfId="1568" xr:uid="{00000000-0005-0000-0000-00006A060000}"/>
    <cellStyle name="Normal 4 9 3 4" xfId="910" xr:uid="{00000000-0005-0000-0000-00006B060000}"/>
    <cellStyle name="Normal 4 9 3 4 2" xfId="1787" xr:uid="{00000000-0005-0000-0000-00006C060000}"/>
    <cellStyle name="Normal 4 9 3 5" xfId="1130" xr:uid="{00000000-0005-0000-0000-00006D060000}"/>
    <cellStyle name="Normal 4 9 4" xfId="326" xr:uid="{00000000-0005-0000-0000-00006E060000}"/>
    <cellStyle name="Normal 4 9 4 2" xfId="1203" xr:uid="{00000000-0005-0000-0000-00006F060000}"/>
    <cellStyle name="Normal 4 9 5" xfId="545" xr:uid="{00000000-0005-0000-0000-000070060000}"/>
    <cellStyle name="Normal 4 9 5 2" xfId="1422" xr:uid="{00000000-0005-0000-0000-000071060000}"/>
    <cellStyle name="Normal 4 9 6" xfId="764" xr:uid="{00000000-0005-0000-0000-000072060000}"/>
    <cellStyle name="Normal 4 9 6 2" xfId="1641" xr:uid="{00000000-0005-0000-0000-000073060000}"/>
    <cellStyle name="Normal 4 9 7" xfId="984" xr:uid="{00000000-0005-0000-0000-000074060000}"/>
    <cellStyle name="Normal 5" xfId="22" xr:uid="{00000000-0005-0000-0000-000075060000}"/>
    <cellStyle name="Normal 5 2" xfId="79" xr:uid="{00000000-0005-0000-0000-000076060000}"/>
    <cellStyle name="Normal 6" xfId="48" xr:uid="{00000000-0005-0000-0000-000077060000}"/>
    <cellStyle name="Normal 6 10" xfId="947" xr:uid="{00000000-0005-0000-0000-000078060000}"/>
    <cellStyle name="Normal 6 2" xfId="93" xr:uid="{00000000-0005-0000-0000-000079060000}"/>
    <cellStyle name="Normal 6 3" xfId="109" xr:uid="{00000000-0005-0000-0000-00007A060000}"/>
    <cellStyle name="Normal 6 3 2" xfId="186" xr:uid="{00000000-0005-0000-0000-00007B060000}"/>
    <cellStyle name="Normal 6 3 2 2" xfId="407" xr:uid="{00000000-0005-0000-0000-00007C060000}"/>
    <cellStyle name="Normal 6 3 2 2 2" xfId="1284" xr:uid="{00000000-0005-0000-0000-00007D060000}"/>
    <cellStyle name="Normal 6 3 2 3" xfId="626" xr:uid="{00000000-0005-0000-0000-00007E060000}"/>
    <cellStyle name="Normal 6 3 2 3 2" xfId="1503" xr:uid="{00000000-0005-0000-0000-00007F060000}"/>
    <cellStyle name="Normal 6 3 2 4" xfId="845" xr:uid="{00000000-0005-0000-0000-000080060000}"/>
    <cellStyle name="Normal 6 3 2 4 2" xfId="1722" xr:uid="{00000000-0005-0000-0000-000081060000}"/>
    <cellStyle name="Normal 6 3 2 5" xfId="1065" xr:uid="{00000000-0005-0000-0000-000082060000}"/>
    <cellStyle name="Normal 6 3 3" xfId="261" xr:uid="{00000000-0005-0000-0000-000083060000}"/>
    <cellStyle name="Normal 6 3 3 2" xfId="480" xr:uid="{00000000-0005-0000-0000-000084060000}"/>
    <cellStyle name="Normal 6 3 3 2 2" xfId="1357" xr:uid="{00000000-0005-0000-0000-000085060000}"/>
    <cellStyle name="Normal 6 3 3 3" xfId="699" xr:uid="{00000000-0005-0000-0000-000086060000}"/>
    <cellStyle name="Normal 6 3 3 3 2" xfId="1576" xr:uid="{00000000-0005-0000-0000-000087060000}"/>
    <cellStyle name="Normal 6 3 3 4" xfId="918" xr:uid="{00000000-0005-0000-0000-000088060000}"/>
    <cellStyle name="Normal 6 3 3 4 2" xfId="1795" xr:uid="{00000000-0005-0000-0000-000089060000}"/>
    <cellStyle name="Normal 6 3 3 5" xfId="1138" xr:uid="{00000000-0005-0000-0000-00008A060000}"/>
    <cellStyle name="Normal 6 3 4" xfId="334" xr:uid="{00000000-0005-0000-0000-00008B060000}"/>
    <cellStyle name="Normal 6 3 4 2" xfId="1211" xr:uid="{00000000-0005-0000-0000-00008C060000}"/>
    <cellStyle name="Normal 6 3 5" xfId="553" xr:uid="{00000000-0005-0000-0000-00008D060000}"/>
    <cellStyle name="Normal 6 3 5 2" xfId="1430" xr:uid="{00000000-0005-0000-0000-00008E060000}"/>
    <cellStyle name="Normal 6 3 6" xfId="772" xr:uid="{00000000-0005-0000-0000-00008F060000}"/>
    <cellStyle name="Normal 6 3 6 2" xfId="1649" xr:uid="{00000000-0005-0000-0000-000090060000}"/>
    <cellStyle name="Normal 6 3 7" xfId="992" xr:uid="{00000000-0005-0000-0000-000091060000}"/>
    <cellStyle name="Normal 6 4" xfId="83" xr:uid="{00000000-0005-0000-0000-000092060000}"/>
    <cellStyle name="Normal 6 4 2" xfId="171" xr:uid="{00000000-0005-0000-0000-000093060000}"/>
    <cellStyle name="Normal 6 4 2 2" xfId="392" xr:uid="{00000000-0005-0000-0000-000094060000}"/>
    <cellStyle name="Normal 6 4 2 2 2" xfId="1269" xr:uid="{00000000-0005-0000-0000-000095060000}"/>
    <cellStyle name="Normal 6 4 2 3" xfId="611" xr:uid="{00000000-0005-0000-0000-000096060000}"/>
    <cellStyle name="Normal 6 4 2 3 2" xfId="1488" xr:uid="{00000000-0005-0000-0000-000097060000}"/>
    <cellStyle name="Normal 6 4 2 4" xfId="830" xr:uid="{00000000-0005-0000-0000-000098060000}"/>
    <cellStyle name="Normal 6 4 2 4 2" xfId="1707" xr:uid="{00000000-0005-0000-0000-000099060000}"/>
    <cellStyle name="Normal 6 4 2 5" xfId="1050" xr:uid="{00000000-0005-0000-0000-00009A060000}"/>
    <cellStyle name="Normal 6 4 3" xfId="246" xr:uid="{00000000-0005-0000-0000-00009B060000}"/>
    <cellStyle name="Normal 6 4 3 2" xfId="465" xr:uid="{00000000-0005-0000-0000-00009C060000}"/>
    <cellStyle name="Normal 6 4 3 2 2" xfId="1342" xr:uid="{00000000-0005-0000-0000-00009D060000}"/>
    <cellStyle name="Normal 6 4 3 3" xfId="684" xr:uid="{00000000-0005-0000-0000-00009E060000}"/>
    <cellStyle name="Normal 6 4 3 3 2" xfId="1561" xr:uid="{00000000-0005-0000-0000-00009F060000}"/>
    <cellStyle name="Normal 6 4 3 4" xfId="903" xr:uid="{00000000-0005-0000-0000-0000A0060000}"/>
    <cellStyle name="Normal 6 4 3 4 2" xfId="1780" xr:uid="{00000000-0005-0000-0000-0000A1060000}"/>
    <cellStyle name="Normal 6 4 3 5" xfId="1123" xr:uid="{00000000-0005-0000-0000-0000A2060000}"/>
    <cellStyle name="Normal 6 4 4" xfId="319" xr:uid="{00000000-0005-0000-0000-0000A3060000}"/>
    <cellStyle name="Normal 6 4 4 2" xfId="1196" xr:uid="{00000000-0005-0000-0000-0000A4060000}"/>
    <cellStyle name="Normal 6 4 5" xfId="538" xr:uid="{00000000-0005-0000-0000-0000A5060000}"/>
    <cellStyle name="Normal 6 4 5 2" xfId="1415" xr:uid="{00000000-0005-0000-0000-0000A6060000}"/>
    <cellStyle name="Normal 6 4 6" xfId="757" xr:uid="{00000000-0005-0000-0000-0000A7060000}"/>
    <cellStyle name="Normal 6 4 6 2" xfId="1634" xr:uid="{00000000-0005-0000-0000-0000A8060000}"/>
    <cellStyle name="Normal 6 4 7" xfId="976" xr:uid="{00000000-0005-0000-0000-0000A9060000}"/>
    <cellStyle name="Normal 6 5" xfId="142" xr:uid="{00000000-0005-0000-0000-0000AA060000}"/>
    <cellStyle name="Normal 6 5 2" xfId="363" xr:uid="{00000000-0005-0000-0000-0000AB060000}"/>
    <cellStyle name="Normal 6 5 2 2" xfId="1240" xr:uid="{00000000-0005-0000-0000-0000AC060000}"/>
    <cellStyle name="Normal 6 5 3" xfId="582" xr:uid="{00000000-0005-0000-0000-0000AD060000}"/>
    <cellStyle name="Normal 6 5 3 2" xfId="1459" xr:uid="{00000000-0005-0000-0000-0000AE060000}"/>
    <cellStyle name="Normal 6 5 4" xfId="801" xr:uid="{00000000-0005-0000-0000-0000AF060000}"/>
    <cellStyle name="Normal 6 5 4 2" xfId="1678" xr:uid="{00000000-0005-0000-0000-0000B0060000}"/>
    <cellStyle name="Normal 6 5 5" xfId="1021" xr:uid="{00000000-0005-0000-0000-0000B1060000}"/>
    <cellStyle name="Normal 6 6" xfId="217" xr:uid="{00000000-0005-0000-0000-0000B2060000}"/>
    <cellStyle name="Normal 6 6 2" xfId="436" xr:uid="{00000000-0005-0000-0000-0000B3060000}"/>
    <cellStyle name="Normal 6 6 2 2" xfId="1313" xr:uid="{00000000-0005-0000-0000-0000B4060000}"/>
    <cellStyle name="Normal 6 6 3" xfId="655" xr:uid="{00000000-0005-0000-0000-0000B5060000}"/>
    <cellStyle name="Normal 6 6 3 2" xfId="1532" xr:uid="{00000000-0005-0000-0000-0000B6060000}"/>
    <cellStyle name="Normal 6 6 4" xfId="874" xr:uid="{00000000-0005-0000-0000-0000B7060000}"/>
    <cellStyle name="Normal 6 6 4 2" xfId="1751" xr:uid="{00000000-0005-0000-0000-0000B8060000}"/>
    <cellStyle name="Normal 6 6 5" xfId="1094" xr:uid="{00000000-0005-0000-0000-0000B9060000}"/>
    <cellStyle name="Normal 6 7" xfId="290" xr:uid="{00000000-0005-0000-0000-0000BA060000}"/>
    <cellStyle name="Normal 6 7 2" xfId="1167" xr:uid="{00000000-0005-0000-0000-0000BB060000}"/>
    <cellStyle name="Normal 6 8" xfId="509" xr:uid="{00000000-0005-0000-0000-0000BC060000}"/>
    <cellStyle name="Normal 6 8 2" xfId="1386" xr:uid="{00000000-0005-0000-0000-0000BD060000}"/>
    <cellStyle name="Normal 6 9" xfId="728" xr:uid="{00000000-0005-0000-0000-0000BE060000}"/>
    <cellStyle name="Normal 6 9 2" xfId="1605" xr:uid="{00000000-0005-0000-0000-0000BF060000}"/>
    <cellStyle name="Normal 7" xfId="94" xr:uid="{00000000-0005-0000-0000-0000C0060000}"/>
    <cellStyle name="Normal 7 2" xfId="115" xr:uid="{00000000-0005-0000-0000-0000C1060000}"/>
    <cellStyle name="Normal 7 2 2" xfId="192" xr:uid="{00000000-0005-0000-0000-0000C2060000}"/>
    <cellStyle name="Normal 7 2 2 2" xfId="413" xr:uid="{00000000-0005-0000-0000-0000C3060000}"/>
    <cellStyle name="Normal 7 2 2 2 2" xfId="1290" xr:uid="{00000000-0005-0000-0000-0000C4060000}"/>
    <cellStyle name="Normal 7 2 2 3" xfId="632" xr:uid="{00000000-0005-0000-0000-0000C5060000}"/>
    <cellStyle name="Normal 7 2 2 3 2" xfId="1509" xr:uid="{00000000-0005-0000-0000-0000C6060000}"/>
    <cellStyle name="Normal 7 2 2 4" xfId="851" xr:uid="{00000000-0005-0000-0000-0000C7060000}"/>
    <cellStyle name="Normal 7 2 2 4 2" xfId="1728" xr:uid="{00000000-0005-0000-0000-0000C8060000}"/>
    <cellStyle name="Normal 7 2 2 5" xfId="1071" xr:uid="{00000000-0005-0000-0000-0000C9060000}"/>
    <cellStyle name="Normal 7 2 3" xfId="267" xr:uid="{00000000-0005-0000-0000-0000CA060000}"/>
    <cellStyle name="Normal 7 2 3 2" xfId="486" xr:uid="{00000000-0005-0000-0000-0000CB060000}"/>
    <cellStyle name="Normal 7 2 3 2 2" xfId="1363" xr:uid="{00000000-0005-0000-0000-0000CC060000}"/>
    <cellStyle name="Normal 7 2 3 3" xfId="705" xr:uid="{00000000-0005-0000-0000-0000CD060000}"/>
    <cellStyle name="Normal 7 2 3 3 2" xfId="1582" xr:uid="{00000000-0005-0000-0000-0000CE060000}"/>
    <cellStyle name="Normal 7 2 3 4" xfId="924" xr:uid="{00000000-0005-0000-0000-0000CF060000}"/>
    <cellStyle name="Normal 7 2 3 4 2" xfId="1801" xr:uid="{00000000-0005-0000-0000-0000D0060000}"/>
    <cellStyle name="Normal 7 2 3 5" xfId="1144" xr:uid="{00000000-0005-0000-0000-0000D1060000}"/>
    <cellStyle name="Normal 7 2 4" xfId="340" xr:uid="{00000000-0005-0000-0000-0000D2060000}"/>
    <cellStyle name="Normal 7 2 4 2" xfId="1217" xr:uid="{00000000-0005-0000-0000-0000D3060000}"/>
    <cellStyle name="Normal 7 2 5" xfId="559" xr:uid="{00000000-0005-0000-0000-0000D4060000}"/>
    <cellStyle name="Normal 7 2 5 2" xfId="1436" xr:uid="{00000000-0005-0000-0000-0000D5060000}"/>
    <cellStyle name="Normal 7 2 6" xfId="778" xr:uid="{00000000-0005-0000-0000-0000D6060000}"/>
    <cellStyle name="Normal 7 2 6 2" xfId="1655" xr:uid="{00000000-0005-0000-0000-0000D7060000}"/>
    <cellStyle name="Normal 7 2 7" xfId="998" xr:uid="{00000000-0005-0000-0000-0000D8060000}"/>
    <cellStyle name="Normal 7 3" xfId="121" xr:uid="{00000000-0005-0000-0000-0000D9060000}"/>
    <cellStyle name="Normal 7 3 2" xfId="198" xr:uid="{00000000-0005-0000-0000-0000DA060000}"/>
    <cellStyle name="Normal 7 3 2 2" xfId="419" xr:uid="{00000000-0005-0000-0000-0000DB060000}"/>
    <cellStyle name="Normal 7 3 2 2 2" xfId="1296" xr:uid="{00000000-0005-0000-0000-0000DC060000}"/>
    <cellStyle name="Normal 7 3 2 3" xfId="638" xr:uid="{00000000-0005-0000-0000-0000DD060000}"/>
    <cellStyle name="Normal 7 3 2 3 2" xfId="1515" xr:uid="{00000000-0005-0000-0000-0000DE060000}"/>
    <cellStyle name="Normal 7 3 2 4" xfId="857" xr:uid="{00000000-0005-0000-0000-0000DF060000}"/>
    <cellStyle name="Normal 7 3 2 4 2" xfId="1734" xr:uid="{00000000-0005-0000-0000-0000E0060000}"/>
    <cellStyle name="Normal 7 3 2 5" xfId="1077" xr:uid="{00000000-0005-0000-0000-0000E1060000}"/>
    <cellStyle name="Normal 7 3 3" xfId="273" xr:uid="{00000000-0005-0000-0000-0000E2060000}"/>
    <cellStyle name="Normal 7 3 3 2" xfId="492" xr:uid="{00000000-0005-0000-0000-0000E3060000}"/>
    <cellStyle name="Normal 7 3 3 2 2" xfId="1369" xr:uid="{00000000-0005-0000-0000-0000E4060000}"/>
    <cellStyle name="Normal 7 3 3 3" xfId="711" xr:uid="{00000000-0005-0000-0000-0000E5060000}"/>
    <cellStyle name="Normal 7 3 3 3 2" xfId="1588" xr:uid="{00000000-0005-0000-0000-0000E6060000}"/>
    <cellStyle name="Normal 7 3 3 4" xfId="930" xr:uid="{00000000-0005-0000-0000-0000E7060000}"/>
    <cellStyle name="Normal 7 3 3 4 2" xfId="1807" xr:uid="{00000000-0005-0000-0000-0000E8060000}"/>
    <cellStyle name="Normal 7 3 3 5" xfId="1150" xr:uid="{00000000-0005-0000-0000-0000E9060000}"/>
    <cellStyle name="Normal 7 3 4" xfId="346" xr:uid="{00000000-0005-0000-0000-0000EA060000}"/>
    <cellStyle name="Normal 7 3 4 2" xfId="1223" xr:uid="{00000000-0005-0000-0000-0000EB060000}"/>
    <cellStyle name="Normal 7 3 5" xfId="565" xr:uid="{00000000-0005-0000-0000-0000EC060000}"/>
    <cellStyle name="Normal 7 3 5 2" xfId="1442" xr:uid="{00000000-0005-0000-0000-0000ED060000}"/>
    <cellStyle name="Normal 7 3 6" xfId="784" xr:uid="{00000000-0005-0000-0000-0000EE060000}"/>
    <cellStyle name="Normal 7 3 6 2" xfId="1661" xr:uid="{00000000-0005-0000-0000-0000EF060000}"/>
    <cellStyle name="Normal 7 3 7" xfId="1004" xr:uid="{00000000-0005-0000-0000-0000F0060000}"/>
    <cellStyle name="Normal 7 4" xfId="177" xr:uid="{00000000-0005-0000-0000-0000F1060000}"/>
    <cellStyle name="Normal 7 4 2" xfId="398" xr:uid="{00000000-0005-0000-0000-0000F2060000}"/>
    <cellStyle name="Normal 7 4 2 2" xfId="1275" xr:uid="{00000000-0005-0000-0000-0000F3060000}"/>
    <cellStyle name="Normal 7 4 3" xfId="617" xr:uid="{00000000-0005-0000-0000-0000F4060000}"/>
    <cellStyle name="Normal 7 4 3 2" xfId="1494" xr:uid="{00000000-0005-0000-0000-0000F5060000}"/>
    <cellStyle name="Normal 7 4 4" xfId="836" xr:uid="{00000000-0005-0000-0000-0000F6060000}"/>
    <cellStyle name="Normal 7 4 4 2" xfId="1713" xr:uid="{00000000-0005-0000-0000-0000F7060000}"/>
    <cellStyle name="Normal 7 4 5" xfId="1056" xr:uid="{00000000-0005-0000-0000-0000F8060000}"/>
    <cellStyle name="Normal 7 5" xfId="252" xr:uid="{00000000-0005-0000-0000-0000F9060000}"/>
    <cellStyle name="Normal 7 5 2" xfId="471" xr:uid="{00000000-0005-0000-0000-0000FA060000}"/>
    <cellStyle name="Normal 7 5 2 2" xfId="1348" xr:uid="{00000000-0005-0000-0000-0000FB060000}"/>
    <cellStyle name="Normal 7 5 3" xfId="690" xr:uid="{00000000-0005-0000-0000-0000FC060000}"/>
    <cellStyle name="Normal 7 5 3 2" xfId="1567" xr:uid="{00000000-0005-0000-0000-0000FD060000}"/>
    <cellStyle name="Normal 7 5 4" xfId="909" xr:uid="{00000000-0005-0000-0000-0000FE060000}"/>
    <cellStyle name="Normal 7 5 4 2" xfId="1786" xr:uid="{00000000-0005-0000-0000-0000FF060000}"/>
    <cellStyle name="Normal 7 5 5" xfId="1129" xr:uid="{00000000-0005-0000-0000-000000070000}"/>
    <cellStyle name="Normal 7 6" xfId="325" xr:uid="{00000000-0005-0000-0000-000001070000}"/>
    <cellStyle name="Normal 7 6 2" xfId="1202" xr:uid="{00000000-0005-0000-0000-000002070000}"/>
    <cellStyle name="Normal 7 7" xfId="544" xr:uid="{00000000-0005-0000-0000-000003070000}"/>
    <cellStyle name="Normal 7 7 2" xfId="1421" xr:uid="{00000000-0005-0000-0000-000004070000}"/>
    <cellStyle name="Normal 7 8" xfId="763" xr:uid="{00000000-0005-0000-0000-000005070000}"/>
    <cellStyle name="Normal 7 8 2" xfId="1640" xr:uid="{00000000-0005-0000-0000-000006070000}"/>
    <cellStyle name="Normal 7 9" xfId="982" xr:uid="{00000000-0005-0000-0000-000007070000}"/>
    <cellStyle name="Normal 8" xfId="122" xr:uid="{00000000-0005-0000-0000-000008070000}"/>
    <cellStyle name="Normal 8 2" xfId="199" xr:uid="{00000000-0005-0000-0000-000009070000}"/>
    <cellStyle name="Normal_Sheet1" xfId="23" xr:uid="{00000000-0005-0000-0000-00000A070000}"/>
    <cellStyle name="Normal-Artigo" xfId="95" xr:uid="{00000000-0005-0000-0000-00000B070000}"/>
    <cellStyle name="Normal-Designação" xfId="96" xr:uid="{00000000-0005-0000-0000-00000C070000}"/>
    <cellStyle name="Normal-Preços" xfId="97" xr:uid="{00000000-0005-0000-0000-00000D070000}"/>
    <cellStyle name="Normal-Quantidade" xfId="98" xr:uid="{00000000-0005-0000-0000-00000E070000}"/>
    <cellStyle name="Normal-Unidades" xfId="99" xr:uid="{00000000-0005-0000-0000-00000F070000}"/>
    <cellStyle name="Nota" xfId="24" xr:uid="{00000000-0005-0000-0000-000010070000}"/>
    <cellStyle name="Nota 2" xfId="40" xr:uid="{00000000-0005-0000-0000-000011070000}"/>
    <cellStyle name="Percent 2" xfId="77" xr:uid="{00000000-0005-0000-0000-000012070000}"/>
    <cellStyle name="Style 1" xfId="25" xr:uid="{00000000-0005-0000-0000-000013070000}"/>
    <cellStyle name="Style 1 2" xfId="29" xr:uid="{00000000-0005-0000-0000-000014070000}"/>
    <cellStyle name="Text" xfId="26" xr:uid="{00000000-0005-0000-0000-000015070000}"/>
    <cellStyle name="Text 2" xfId="41" xr:uid="{00000000-0005-0000-0000-000016070000}"/>
    <cellStyle name="Texto de Aviso" xfId="27" xr:uid="{00000000-0005-0000-0000-000017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1\emcurso\Emp.%20em%20Curso\Lez&#237;ria%20Park\03.Edif&#237;cio\02.Lote%202\03.Empreitadas%20-%20Contrato%20-%20Factura&#231;ao%20(por%20empreitada)\03.1.TD-CECC\04.Articulados\LPark_L2_Armaz&#233;ns_Mapa%20de%20QuantidadesV2_Estimativa_0806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Estimativa TD-GPII - Armazéns"/>
      <sheetName val="Variable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7D61-5E08-4984-89FA-CA3A9437DD79}">
  <sheetPr>
    <pageSetUpPr fitToPage="1"/>
  </sheetPr>
  <dimension ref="A1:P143"/>
  <sheetViews>
    <sheetView showGridLines="0" tabSelected="1" view="pageBreakPreview" zoomScale="110" zoomScaleNormal="110" zoomScaleSheetLayoutView="110" zoomScalePageLayoutView="115" workbookViewId="0">
      <selection activeCell="C25" sqref="C25"/>
    </sheetView>
  </sheetViews>
  <sheetFormatPr defaultColWidth="9.109375" defaultRowHeight="13.2"/>
  <cols>
    <col min="1" max="1" width="2.5546875" style="2" customWidth="1"/>
    <col min="2" max="2" width="17" style="4" customWidth="1"/>
    <col min="3" max="3" width="102.33203125" style="5" bestFit="1" customWidth="1"/>
    <col min="4" max="4" width="22.109375" style="5" bestFit="1" customWidth="1"/>
    <col min="5" max="8" width="3.6640625" style="5" customWidth="1"/>
    <col min="9" max="9" width="3.6640625" style="4" customWidth="1"/>
    <col min="10" max="12" width="3.6640625" style="3" customWidth="1"/>
    <col min="13" max="13" width="2.33203125" style="2" customWidth="1"/>
    <col min="14" max="16384" width="9.109375" style="2"/>
  </cols>
  <sheetData>
    <row r="1" spans="1:16" s="6" customFormat="1" ht="12.75" customHeight="1">
      <c r="B1" s="19"/>
      <c r="C1" s="20"/>
      <c r="D1" s="20"/>
      <c r="E1" s="20"/>
      <c r="F1" s="20"/>
      <c r="G1" s="20"/>
      <c r="H1" s="20"/>
      <c r="I1" s="19"/>
      <c r="J1" s="21"/>
      <c r="K1" s="21"/>
      <c r="L1" s="21"/>
    </row>
    <row r="2" spans="1:16" s="6" customFormat="1" ht="12" customHeight="1">
      <c r="B2" s="85" t="s">
        <v>32</v>
      </c>
      <c r="C2" s="84" t="s">
        <v>36</v>
      </c>
      <c r="D2" s="31"/>
      <c r="E2" s="31"/>
      <c r="F2" s="31"/>
      <c r="G2" s="16"/>
      <c r="H2" s="16"/>
      <c r="I2" s="17"/>
      <c r="J2" s="24"/>
      <c r="K2" s="22"/>
      <c r="L2" s="18"/>
      <c r="M2" s="7"/>
      <c r="N2" s="7"/>
    </row>
    <row r="3" spans="1:16" s="6" customFormat="1" ht="12" customHeight="1">
      <c r="B3" s="85" t="s">
        <v>34</v>
      </c>
      <c r="C3" s="84" t="s">
        <v>33</v>
      </c>
      <c r="E3" s="16"/>
      <c r="F3" s="16"/>
      <c r="G3" s="16"/>
      <c r="H3" s="16"/>
      <c r="I3" s="45" t="s">
        <v>9</v>
      </c>
      <c r="J3" s="100" t="s">
        <v>15</v>
      </c>
      <c r="K3" s="101"/>
      <c r="L3" s="102"/>
      <c r="M3" s="7"/>
      <c r="O3" s="57">
        <v>779</v>
      </c>
    </row>
    <row r="4" spans="1:16" s="6" customFormat="1" ht="12" customHeight="1">
      <c r="B4" s="85" t="s">
        <v>35</v>
      </c>
      <c r="C4" s="84" t="s">
        <v>37</v>
      </c>
      <c r="E4" s="16"/>
      <c r="F4" s="16"/>
      <c r="G4" s="16"/>
      <c r="H4" s="16"/>
      <c r="I4" s="17"/>
      <c r="J4" s="18"/>
      <c r="K4" s="22"/>
      <c r="L4" s="18"/>
      <c r="M4" s="7"/>
      <c r="O4" s="57" t="s">
        <v>23</v>
      </c>
    </row>
    <row r="5" spans="1:16" s="6" customFormat="1" ht="12.75" customHeight="1" collapsed="1">
      <c r="B5" s="23"/>
      <c r="C5" s="16"/>
      <c r="D5" s="16"/>
      <c r="E5" s="16"/>
      <c r="F5" s="16"/>
      <c r="G5" s="16"/>
      <c r="H5" s="16"/>
      <c r="I5" s="19"/>
      <c r="J5" s="21"/>
      <c r="K5" s="21"/>
      <c r="L5" s="21"/>
      <c r="O5" s="57" t="s">
        <v>26</v>
      </c>
    </row>
    <row r="6" spans="1:16" s="1" customFormat="1" ht="15" customHeight="1">
      <c r="B6" s="103" t="s">
        <v>0</v>
      </c>
      <c r="C6" s="103"/>
      <c r="D6" s="103"/>
      <c r="E6" s="100" t="s">
        <v>16</v>
      </c>
      <c r="F6" s="101"/>
      <c r="G6" s="101"/>
      <c r="H6" s="101"/>
      <c r="I6" s="101"/>
      <c r="J6" s="101"/>
      <c r="K6" s="101"/>
      <c r="L6" s="102"/>
    </row>
    <row r="7" spans="1:16" ht="11.25" customHeight="1">
      <c r="B7" s="25"/>
      <c r="C7" s="26"/>
      <c r="D7" s="2"/>
      <c r="E7" s="77" t="s">
        <v>9</v>
      </c>
      <c r="F7" s="78" t="s">
        <v>22</v>
      </c>
      <c r="G7" s="79" t="s">
        <v>25</v>
      </c>
      <c r="H7" s="80"/>
      <c r="I7" s="80"/>
      <c r="J7" s="81"/>
      <c r="K7" s="81"/>
      <c r="L7" s="82"/>
      <c r="O7" s="58"/>
    </row>
    <row r="8" spans="1:16" ht="12" customHeight="1">
      <c r="B8" s="25"/>
      <c r="C8" s="27"/>
      <c r="D8" s="2"/>
      <c r="E8" s="116">
        <v>45170</v>
      </c>
      <c r="F8" s="106">
        <v>45184</v>
      </c>
      <c r="G8" s="92">
        <v>45590</v>
      </c>
      <c r="H8" s="92"/>
      <c r="I8" s="106"/>
      <c r="J8" s="106"/>
      <c r="K8" s="109"/>
      <c r="L8" s="112"/>
    </row>
    <row r="9" spans="1:16">
      <c r="B9" s="25"/>
      <c r="C9" s="26"/>
      <c r="D9" s="2"/>
      <c r="E9" s="117"/>
      <c r="F9" s="107"/>
      <c r="G9" s="93"/>
      <c r="H9" s="93"/>
      <c r="I9" s="107"/>
      <c r="J9" s="107"/>
      <c r="K9" s="110"/>
      <c r="L9" s="113"/>
    </row>
    <row r="10" spans="1:16" ht="29.25" customHeight="1">
      <c r="B10" s="39"/>
      <c r="C10" s="32"/>
      <c r="D10" s="36"/>
      <c r="E10" s="118"/>
      <c r="F10" s="108"/>
      <c r="G10" s="94"/>
      <c r="H10" s="94"/>
      <c r="I10" s="108"/>
      <c r="J10" s="108"/>
      <c r="K10" s="111"/>
      <c r="L10" s="114"/>
      <c r="M10" s="10"/>
      <c r="N10" s="10"/>
    </row>
    <row r="11" spans="1:16">
      <c r="A11" s="37"/>
      <c r="B11" s="46" t="s">
        <v>5</v>
      </c>
      <c r="C11" s="47" t="s">
        <v>6</v>
      </c>
      <c r="D11" s="48" t="s">
        <v>8</v>
      </c>
      <c r="E11" s="49"/>
      <c r="F11" s="49"/>
      <c r="G11" s="49"/>
      <c r="H11" s="49"/>
      <c r="I11" s="49"/>
      <c r="J11" s="49"/>
      <c r="K11" s="49"/>
      <c r="L11" s="50"/>
      <c r="M11" s="28"/>
      <c r="N11" s="28"/>
      <c r="O11" s="28"/>
    </row>
    <row r="12" spans="1:16">
      <c r="A12" s="37"/>
      <c r="B12" s="41" t="s">
        <v>1</v>
      </c>
      <c r="C12" s="115" t="s">
        <v>4</v>
      </c>
      <c r="D12" s="115"/>
      <c r="E12" s="104" t="s">
        <v>2</v>
      </c>
      <c r="F12" s="104"/>
      <c r="G12" s="104"/>
      <c r="H12" s="104"/>
      <c r="I12" s="104"/>
      <c r="J12" s="104"/>
      <c r="K12" s="104"/>
      <c r="L12" s="105"/>
      <c r="O12" s="59" t="s">
        <v>21</v>
      </c>
    </row>
    <row r="13" spans="1:16">
      <c r="B13" s="68" t="s">
        <v>7</v>
      </c>
      <c r="C13" s="43" t="s">
        <v>17</v>
      </c>
      <c r="D13" s="65" t="str" cm="1">
        <f t="array" ref="D13">+CONCATENATE("779-EST-MDJ-"&amp;$O$5&amp;"-E",$I$3,"-",INDEX(E13:L13,O13))</f>
        <v>779-EST-MDJ-PB-E00-B</v>
      </c>
      <c r="E13" s="40" t="s">
        <v>3</v>
      </c>
      <c r="F13" s="40" t="s">
        <v>1</v>
      </c>
      <c r="G13" s="33" t="s">
        <v>14</v>
      </c>
      <c r="H13" s="33"/>
      <c r="I13" s="34"/>
      <c r="J13" s="34"/>
      <c r="K13" s="35"/>
      <c r="L13" s="38"/>
      <c r="M13" s="29"/>
      <c r="N13" s="30"/>
      <c r="O13" s="73">
        <f>+COUNTA(E13:L13)</f>
        <v>3</v>
      </c>
      <c r="P13" s="83"/>
    </row>
    <row r="14" spans="1:16">
      <c r="B14" s="51" t="s">
        <v>10</v>
      </c>
      <c r="C14" s="43" t="s">
        <v>18</v>
      </c>
      <c r="D14" s="65" t="str" cm="1">
        <f t="array" ref="D14">+CONCATENATE("779-EST-CTE-"&amp;$O$5&amp;"-E",$I$3,"-",INDEX(E14:L14,O14))</f>
        <v>779-EST-CTE-PB-E00-0</v>
      </c>
      <c r="E14" s="40" t="s">
        <v>24</v>
      </c>
      <c r="F14" s="40" t="s">
        <v>3</v>
      </c>
      <c r="G14" s="40"/>
      <c r="H14" s="33"/>
      <c r="I14" s="34"/>
      <c r="J14" s="34"/>
      <c r="K14" s="35"/>
      <c r="L14" s="38"/>
      <c r="M14" s="29"/>
      <c r="N14" s="30"/>
      <c r="O14" s="73">
        <f t="shared" ref="O14:O16" si="0">+COUNTA(E14:L14)</f>
        <v>2</v>
      </c>
    </row>
    <row r="15" spans="1:16">
      <c r="B15" s="51" t="s">
        <v>11</v>
      </c>
      <c r="C15" s="43" t="s">
        <v>19</v>
      </c>
      <c r="D15" s="65" t="str" cm="1">
        <f t="array" ref="D15">+CONCATENATE("779-EST-MQT-"&amp;$O$5&amp;"-E",$I$3,"-",INDEX(E15:L15,O15))</f>
        <v>779-EST-MQT-PB-E00-A</v>
      </c>
      <c r="E15" s="40" t="s">
        <v>24</v>
      </c>
      <c r="F15" s="40" t="s">
        <v>3</v>
      </c>
      <c r="G15" s="33" t="s">
        <v>1</v>
      </c>
      <c r="H15" s="33"/>
      <c r="I15" s="34"/>
      <c r="J15" s="34"/>
      <c r="K15" s="35"/>
      <c r="L15" s="38"/>
      <c r="M15" s="29"/>
      <c r="N15" s="30"/>
      <c r="O15" s="73">
        <f t="shared" si="0"/>
        <v>3</v>
      </c>
    </row>
    <row r="16" spans="1:16">
      <c r="B16" s="51" t="s">
        <v>12</v>
      </c>
      <c r="C16" s="43" t="s">
        <v>20</v>
      </c>
      <c r="D16" s="42"/>
      <c r="E16" s="40" t="s">
        <v>24</v>
      </c>
      <c r="F16" s="40"/>
      <c r="G16" s="40"/>
      <c r="H16" s="33"/>
      <c r="I16" s="34"/>
      <c r="J16" s="34"/>
      <c r="K16" s="35"/>
      <c r="L16" s="38"/>
      <c r="M16" s="29"/>
      <c r="N16" s="30"/>
      <c r="O16" s="73">
        <f t="shared" si="0"/>
        <v>1</v>
      </c>
    </row>
    <row r="17" spans="2:15">
      <c r="B17" s="51" t="s">
        <v>29</v>
      </c>
      <c r="C17" s="43" t="s">
        <v>28</v>
      </c>
      <c r="D17" s="65"/>
      <c r="E17" s="40" t="s">
        <v>24</v>
      </c>
      <c r="F17" s="40"/>
      <c r="G17" s="33"/>
      <c r="H17" s="33"/>
      <c r="I17" s="34"/>
      <c r="J17" s="34"/>
      <c r="K17" s="35"/>
      <c r="L17" s="38"/>
      <c r="M17" s="29"/>
      <c r="N17" s="30"/>
      <c r="O17" s="73"/>
    </row>
    <row r="18" spans="2:15">
      <c r="B18" s="51" t="s">
        <v>27</v>
      </c>
      <c r="C18" s="43" t="s">
        <v>30</v>
      </c>
      <c r="D18" s="42" t="s">
        <v>31</v>
      </c>
      <c r="E18" s="40" t="s">
        <v>3</v>
      </c>
      <c r="F18" s="40"/>
      <c r="G18" s="40"/>
      <c r="H18" s="33"/>
      <c r="I18" s="34"/>
      <c r="J18" s="34"/>
      <c r="K18" s="35"/>
      <c r="L18" s="38"/>
      <c r="M18" s="29"/>
      <c r="N18" s="30"/>
      <c r="O18" s="73"/>
    </row>
    <row r="19" spans="2:15">
      <c r="B19" s="51"/>
      <c r="C19" s="43"/>
      <c r="D19" s="65"/>
      <c r="E19" s="40"/>
      <c r="F19" s="40"/>
      <c r="G19" s="33"/>
      <c r="H19" s="33"/>
      <c r="I19" s="34"/>
      <c r="J19" s="34"/>
      <c r="K19" s="35"/>
      <c r="L19" s="38"/>
      <c r="M19" s="29"/>
      <c r="N19" s="30"/>
      <c r="O19" s="73"/>
    </row>
    <row r="20" spans="2:15">
      <c r="B20" s="69" t="s">
        <v>14</v>
      </c>
      <c r="C20" s="95" t="s">
        <v>13</v>
      </c>
      <c r="D20" s="96"/>
      <c r="E20" s="97" t="s">
        <v>2</v>
      </c>
      <c r="F20" s="98"/>
      <c r="G20" s="98"/>
      <c r="H20" s="98"/>
      <c r="I20" s="98"/>
      <c r="J20" s="98"/>
      <c r="K20" s="98"/>
      <c r="L20" s="99"/>
    </row>
    <row r="21" spans="2:15" ht="14.25" customHeight="1">
      <c r="B21" s="67" t="s">
        <v>38</v>
      </c>
      <c r="C21" s="44" t="s">
        <v>39</v>
      </c>
      <c r="D21" s="65" t="str" cm="1">
        <f t="array" ref="D21">CONCATENATE($O$3,"-",$O$4,"-",B21,"-",$O$5,"-E",$I$3,"-",INDEX(E21:L21,O21))</f>
        <v>779-EST-DES 001-PB-E00-A</v>
      </c>
      <c r="E21" s="74">
        <v>0</v>
      </c>
      <c r="F21" s="40" t="s">
        <v>1</v>
      </c>
      <c r="G21" s="61"/>
      <c r="H21" s="61"/>
      <c r="I21" s="62"/>
      <c r="J21" s="62"/>
      <c r="K21" s="63"/>
      <c r="L21" s="64"/>
      <c r="M21" s="28"/>
      <c r="N21" s="28"/>
      <c r="O21" s="73">
        <f>+COUNTA(E21:L21)</f>
        <v>2</v>
      </c>
    </row>
    <row r="22" spans="2:15" ht="14.25" customHeight="1">
      <c r="B22" s="67"/>
      <c r="C22" s="44"/>
      <c r="D22" s="65"/>
      <c r="E22" s="74"/>
      <c r="F22" s="40"/>
      <c r="G22" s="61"/>
      <c r="H22" s="61"/>
      <c r="I22" s="62"/>
      <c r="J22" s="62"/>
      <c r="K22" s="63"/>
      <c r="L22" s="64"/>
      <c r="M22" s="29"/>
      <c r="N22" s="30"/>
      <c r="O22" s="73">
        <f t="shared" ref="O22:O85" si="1">+COUNTA(E22:L22)</f>
        <v>0</v>
      </c>
    </row>
    <row r="23" spans="2:15" ht="14.25" customHeight="1">
      <c r="B23" s="67"/>
      <c r="C23" s="44"/>
      <c r="D23" s="65"/>
      <c r="E23" s="74"/>
      <c r="F23" s="40"/>
      <c r="G23" s="61"/>
      <c r="H23" s="61"/>
      <c r="I23" s="62"/>
      <c r="J23" s="62"/>
      <c r="K23" s="63"/>
      <c r="L23" s="64"/>
      <c r="M23" s="29"/>
      <c r="N23" s="60"/>
      <c r="O23" s="73">
        <f t="shared" si="1"/>
        <v>0</v>
      </c>
    </row>
    <row r="24" spans="2:15" ht="14.25" customHeight="1">
      <c r="B24" s="67"/>
      <c r="C24" s="44"/>
      <c r="D24" s="65"/>
      <c r="E24" s="74"/>
      <c r="F24" s="40"/>
      <c r="G24" s="61"/>
      <c r="H24" s="61"/>
      <c r="I24" s="62"/>
      <c r="J24" s="62"/>
      <c r="K24" s="63"/>
      <c r="L24" s="64"/>
      <c r="M24" s="29"/>
      <c r="N24" s="30"/>
      <c r="O24" s="73">
        <f t="shared" si="1"/>
        <v>0</v>
      </c>
    </row>
    <row r="25" spans="2:15" ht="14.25" customHeight="1">
      <c r="B25" s="67"/>
      <c r="C25" s="44"/>
      <c r="D25" s="65"/>
      <c r="E25" s="74"/>
      <c r="F25" s="40"/>
      <c r="G25" s="61"/>
      <c r="H25" s="61"/>
      <c r="I25" s="62"/>
      <c r="J25" s="62"/>
      <c r="K25" s="63"/>
      <c r="L25" s="64"/>
      <c r="M25" s="29"/>
      <c r="N25" s="30"/>
      <c r="O25" s="73">
        <f t="shared" si="1"/>
        <v>0</v>
      </c>
    </row>
    <row r="26" spans="2:15" ht="14.25" customHeight="1">
      <c r="B26" s="67"/>
      <c r="C26" s="44"/>
      <c r="D26" s="65"/>
      <c r="E26" s="74"/>
      <c r="F26" s="40"/>
      <c r="G26" s="61"/>
      <c r="H26" s="61"/>
      <c r="I26" s="62"/>
      <c r="J26" s="62"/>
      <c r="K26" s="63"/>
      <c r="L26" s="64"/>
      <c r="M26" s="29"/>
      <c r="N26" s="60"/>
      <c r="O26" s="73">
        <f t="shared" si="1"/>
        <v>0</v>
      </c>
    </row>
    <row r="27" spans="2:15" ht="14.25" customHeight="1">
      <c r="B27" s="67"/>
      <c r="C27" s="44"/>
      <c r="D27" s="65"/>
      <c r="E27" s="74"/>
      <c r="F27" s="40"/>
      <c r="G27" s="61"/>
      <c r="H27" s="61"/>
      <c r="I27" s="62"/>
      <c r="J27" s="62"/>
      <c r="K27" s="63"/>
      <c r="L27" s="64"/>
      <c r="M27" s="29"/>
      <c r="N27" s="30"/>
      <c r="O27" s="73">
        <f t="shared" si="1"/>
        <v>0</v>
      </c>
    </row>
    <row r="28" spans="2:15" ht="14.25" customHeight="1">
      <c r="B28" s="67"/>
      <c r="C28" s="44"/>
      <c r="D28" s="65"/>
      <c r="E28" s="74"/>
      <c r="F28" s="40"/>
      <c r="G28" s="61"/>
      <c r="H28" s="61"/>
      <c r="I28" s="62"/>
      <c r="J28" s="62"/>
      <c r="K28" s="63"/>
      <c r="L28" s="64"/>
      <c r="M28" s="29"/>
      <c r="N28" s="30"/>
      <c r="O28" s="73">
        <f t="shared" si="1"/>
        <v>0</v>
      </c>
    </row>
    <row r="29" spans="2:15" ht="14.25" customHeight="1">
      <c r="B29" s="67"/>
      <c r="C29" s="44"/>
      <c r="D29" s="65"/>
      <c r="E29" s="74"/>
      <c r="F29" s="40"/>
      <c r="G29" s="61"/>
      <c r="H29" s="61"/>
      <c r="I29" s="62"/>
      <c r="J29" s="62"/>
      <c r="K29" s="63"/>
      <c r="L29" s="64"/>
      <c r="M29" s="29"/>
      <c r="N29" s="30"/>
      <c r="O29" s="73">
        <f t="shared" si="1"/>
        <v>0</v>
      </c>
    </row>
    <row r="30" spans="2:15" ht="14.25" customHeight="1">
      <c r="B30" s="67"/>
      <c r="C30" s="44"/>
      <c r="D30" s="65"/>
      <c r="E30" s="74"/>
      <c r="F30" s="40"/>
      <c r="G30" s="61"/>
      <c r="H30" s="61"/>
      <c r="I30" s="62"/>
      <c r="J30" s="62"/>
      <c r="K30" s="63"/>
      <c r="L30" s="64"/>
      <c r="M30" s="29"/>
      <c r="N30" s="30"/>
      <c r="O30" s="73">
        <f t="shared" si="1"/>
        <v>0</v>
      </c>
    </row>
    <row r="31" spans="2:15" ht="14.25" customHeight="1">
      <c r="B31" s="67"/>
      <c r="C31" s="44"/>
      <c r="D31" s="65"/>
      <c r="E31" s="74"/>
      <c r="F31" s="40"/>
      <c r="G31" s="61"/>
      <c r="H31" s="61"/>
      <c r="I31" s="62"/>
      <c r="J31" s="62"/>
      <c r="K31" s="63"/>
      <c r="L31" s="64"/>
      <c r="M31" s="29"/>
      <c r="N31" s="30"/>
      <c r="O31" s="73">
        <f t="shared" si="1"/>
        <v>0</v>
      </c>
    </row>
    <row r="32" spans="2:15" ht="14.25" customHeight="1">
      <c r="B32" s="67"/>
      <c r="C32" s="44"/>
      <c r="D32" s="65"/>
      <c r="E32" s="74"/>
      <c r="F32" s="40"/>
      <c r="G32" s="61"/>
      <c r="H32" s="61"/>
      <c r="I32" s="62"/>
      <c r="J32" s="62"/>
      <c r="K32" s="63"/>
      <c r="L32" s="64"/>
      <c r="M32" s="29"/>
      <c r="N32" s="30"/>
      <c r="O32" s="73">
        <f t="shared" si="1"/>
        <v>0</v>
      </c>
    </row>
    <row r="33" spans="2:15" ht="14.25" customHeight="1">
      <c r="B33" s="67"/>
      <c r="C33" s="44"/>
      <c r="D33" s="65"/>
      <c r="E33" s="74"/>
      <c r="F33" s="40"/>
      <c r="G33" s="61"/>
      <c r="H33" s="61"/>
      <c r="I33" s="62"/>
      <c r="J33" s="62"/>
      <c r="K33" s="63"/>
      <c r="L33" s="64"/>
      <c r="M33" s="29"/>
      <c r="N33" s="30"/>
      <c r="O33" s="73">
        <f t="shared" si="1"/>
        <v>0</v>
      </c>
    </row>
    <row r="34" spans="2:15" ht="14.25" customHeight="1">
      <c r="B34" s="67"/>
      <c r="C34" s="44"/>
      <c r="D34" s="65"/>
      <c r="E34" s="74"/>
      <c r="F34" s="40"/>
      <c r="G34" s="61"/>
      <c r="H34" s="61"/>
      <c r="I34" s="62"/>
      <c r="J34" s="62"/>
      <c r="K34" s="63"/>
      <c r="L34" s="64"/>
      <c r="M34" s="29"/>
      <c r="N34" s="30"/>
      <c r="O34" s="73">
        <f t="shared" si="1"/>
        <v>0</v>
      </c>
    </row>
    <row r="35" spans="2:15" ht="14.25" customHeight="1">
      <c r="B35" s="67"/>
      <c r="C35" s="44"/>
      <c r="D35" s="65"/>
      <c r="E35" s="74"/>
      <c r="F35" s="40"/>
      <c r="G35" s="61"/>
      <c r="H35" s="61"/>
      <c r="I35" s="62"/>
      <c r="J35" s="62"/>
      <c r="K35" s="63"/>
      <c r="L35" s="64"/>
      <c r="M35" s="29"/>
      <c r="N35" s="30"/>
      <c r="O35" s="73">
        <f t="shared" si="1"/>
        <v>0</v>
      </c>
    </row>
    <row r="36" spans="2:15" ht="14.25" customHeight="1">
      <c r="B36" s="67"/>
      <c r="C36" s="44"/>
      <c r="D36" s="65"/>
      <c r="E36" s="74"/>
      <c r="F36" s="40"/>
      <c r="G36" s="61"/>
      <c r="H36" s="61"/>
      <c r="I36" s="62"/>
      <c r="J36" s="62"/>
      <c r="K36" s="63"/>
      <c r="L36" s="64"/>
      <c r="M36" s="29"/>
      <c r="N36" s="30"/>
      <c r="O36" s="73">
        <f t="shared" si="1"/>
        <v>0</v>
      </c>
    </row>
    <row r="37" spans="2:15" ht="14.25" customHeight="1">
      <c r="B37" s="67"/>
      <c r="C37" s="44"/>
      <c r="D37" s="65"/>
      <c r="E37" s="74"/>
      <c r="F37" s="40"/>
      <c r="G37" s="61"/>
      <c r="H37" s="61"/>
      <c r="I37" s="62"/>
      <c r="J37" s="62"/>
      <c r="K37" s="63"/>
      <c r="L37" s="64"/>
      <c r="M37" s="29"/>
      <c r="N37" s="30"/>
      <c r="O37" s="73">
        <f t="shared" si="1"/>
        <v>0</v>
      </c>
    </row>
    <row r="38" spans="2:15" ht="14.25" customHeight="1">
      <c r="B38" s="67"/>
      <c r="C38" s="44"/>
      <c r="D38" s="65"/>
      <c r="E38" s="74"/>
      <c r="F38" s="40"/>
      <c r="G38" s="61"/>
      <c r="H38" s="61"/>
      <c r="I38" s="62"/>
      <c r="J38" s="62"/>
      <c r="K38" s="63"/>
      <c r="L38" s="64"/>
      <c r="M38" s="29"/>
      <c r="N38" s="30"/>
      <c r="O38" s="73">
        <f t="shared" si="1"/>
        <v>0</v>
      </c>
    </row>
    <row r="39" spans="2:15" ht="14.25" customHeight="1">
      <c r="B39" s="67"/>
      <c r="C39" s="43"/>
      <c r="D39" s="65"/>
      <c r="E39" s="74"/>
      <c r="F39" s="40"/>
      <c r="G39" s="61"/>
      <c r="H39" s="61"/>
      <c r="I39" s="62"/>
      <c r="J39" s="62"/>
      <c r="K39" s="63"/>
      <c r="L39" s="64"/>
      <c r="M39" s="29"/>
      <c r="N39" s="30"/>
      <c r="O39" s="73">
        <f t="shared" si="1"/>
        <v>0</v>
      </c>
    </row>
    <row r="40" spans="2:15" ht="14.25" customHeight="1">
      <c r="B40" s="67"/>
      <c r="C40" s="43"/>
      <c r="D40" s="65"/>
      <c r="E40" s="74"/>
      <c r="F40" s="40"/>
      <c r="G40" s="61"/>
      <c r="H40" s="61"/>
      <c r="I40" s="62"/>
      <c r="J40" s="62"/>
      <c r="K40" s="63"/>
      <c r="L40" s="64"/>
      <c r="M40" s="29"/>
      <c r="N40" s="30"/>
      <c r="O40" s="73">
        <f t="shared" si="1"/>
        <v>0</v>
      </c>
    </row>
    <row r="41" spans="2:15" ht="14.25" customHeight="1">
      <c r="B41" s="67"/>
      <c r="C41" s="43"/>
      <c r="D41" s="65"/>
      <c r="E41" s="74"/>
      <c r="F41" s="40"/>
      <c r="G41" s="61"/>
      <c r="H41" s="61"/>
      <c r="I41" s="62"/>
      <c r="J41" s="62"/>
      <c r="K41" s="63"/>
      <c r="L41" s="64"/>
      <c r="M41" s="29"/>
      <c r="N41" s="30"/>
      <c r="O41" s="73">
        <f t="shared" si="1"/>
        <v>0</v>
      </c>
    </row>
    <row r="42" spans="2:15" s="70" customFormat="1" ht="14.25" customHeight="1">
      <c r="B42" s="67"/>
      <c r="C42" s="44"/>
      <c r="D42" s="65"/>
      <c r="E42" s="75"/>
      <c r="F42" s="40"/>
      <c r="G42" s="71"/>
      <c r="H42" s="71"/>
      <c r="I42" s="72"/>
      <c r="J42" s="72"/>
      <c r="K42" s="63"/>
      <c r="L42" s="64"/>
      <c r="M42" s="29"/>
      <c r="N42" s="30"/>
      <c r="O42" s="73">
        <f t="shared" si="1"/>
        <v>0</v>
      </c>
    </row>
    <row r="43" spans="2:15" ht="14.25" customHeight="1">
      <c r="B43" s="67"/>
      <c r="C43" s="43"/>
      <c r="D43" s="65"/>
      <c r="E43" s="74"/>
      <c r="F43" s="40"/>
      <c r="G43" s="61"/>
      <c r="H43" s="61"/>
      <c r="I43" s="62"/>
      <c r="J43" s="62"/>
      <c r="K43" s="63"/>
      <c r="L43" s="64"/>
      <c r="M43" s="29"/>
      <c r="N43" s="30"/>
      <c r="O43" s="73">
        <f t="shared" si="1"/>
        <v>0</v>
      </c>
    </row>
    <row r="44" spans="2:15" ht="14.25" customHeight="1">
      <c r="B44" s="86"/>
      <c r="C44" s="87"/>
      <c r="D44" s="88"/>
      <c r="E44" s="89"/>
      <c r="F44" s="90"/>
      <c r="G44" s="90"/>
      <c r="H44" s="90"/>
      <c r="I44" s="90"/>
      <c r="J44" s="90"/>
      <c r="K44" s="90"/>
      <c r="L44" s="91"/>
      <c r="M44" s="28"/>
      <c r="N44" s="28"/>
      <c r="O44" s="73">
        <f t="shared" si="1"/>
        <v>0</v>
      </c>
    </row>
    <row r="45" spans="2:15" ht="14.25" customHeight="1">
      <c r="B45" s="67"/>
      <c r="C45" s="44"/>
      <c r="D45" s="65"/>
      <c r="E45" s="74"/>
      <c r="F45" s="40"/>
      <c r="G45" s="33"/>
      <c r="H45" s="33"/>
      <c r="I45" s="33"/>
      <c r="J45" s="33"/>
      <c r="K45" s="35"/>
      <c r="L45" s="38"/>
      <c r="M45" s="29"/>
      <c r="N45" s="30"/>
      <c r="O45" s="73">
        <f t="shared" si="1"/>
        <v>0</v>
      </c>
    </row>
    <row r="46" spans="2:15" ht="14.25" customHeight="1">
      <c r="B46" s="86"/>
      <c r="C46" s="87"/>
      <c r="D46" s="88"/>
      <c r="E46" s="89"/>
      <c r="F46" s="90"/>
      <c r="G46" s="90"/>
      <c r="H46" s="90"/>
      <c r="I46" s="90"/>
      <c r="J46" s="90"/>
      <c r="K46" s="90"/>
      <c r="L46" s="91"/>
      <c r="M46" s="28"/>
      <c r="N46" s="28"/>
      <c r="O46" s="73">
        <f t="shared" si="1"/>
        <v>0</v>
      </c>
    </row>
    <row r="47" spans="2:15" ht="14.25" customHeight="1">
      <c r="B47" s="67"/>
      <c r="C47" s="44"/>
      <c r="D47" s="65"/>
      <c r="E47" s="74"/>
      <c r="F47" s="40"/>
      <c r="G47" s="33"/>
      <c r="H47" s="33"/>
      <c r="I47" s="33"/>
      <c r="J47" s="33"/>
      <c r="K47" s="35"/>
      <c r="L47" s="38"/>
      <c r="M47" s="29"/>
      <c r="N47" s="30"/>
      <c r="O47" s="73">
        <f t="shared" si="1"/>
        <v>0</v>
      </c>
    </row>
    <row r="48" spans="2:15" ht="14.25" customHeight="1">
      <c r="B48" s="67"/>
      <c r="C48" s="44"/>
      <c r="D48" s="65"/>
      <c r="E48" s="74"/>
      <c r="F48" s="40"/>
      <c r="G48" s="33"/>
      <c r="H48" s="33"/>
      <c r="I48" s="33"/>
      <c r="J48" s="33"/>
      <c r="K48" s="35"/>
      <c r="L48" s="38"/>
      <c r="M48" s="29"/>
      <c r="N48" s="30"/>
      <c r="O48" s="73">
        <f t="shared" si="1"/>
        <v>0</v>
      </c>
    </row>
    <row r="49" spans="2:15" ht="14.25" customHeight="1">
      <c r="B49" s="67"/>
      <c r="C49" s="44"/>
      <c r="D49" s="65"/>
      <c r="E49" s="74"/>
      <c r="F49" s="40"/>
      <c r="G49" s="33"/>
      <c r="H49" s="33"/>
      <c r="I49" s="33"/>
      <c r="J49" s="33"/>
      <c r="K49" s="35"/>
      <c r="L49" s="38"/>
      <c r="M49" s="29"/>
      <c r="N49" s="30"/>
      <c r="O49" s="73">
        <f t="shared" si="1"/>
        <v>0</v>
      </c>
    </row>
    <row r="50" spans="2:15" ht="14.25" customHeight="1">
      <c r="B50" s="67"/>
      <c r="C50" s="44"/>
      <c r="D50" s="65"/>
      <c r="E50" s="74"/>
      <c r="F50" s="40"/>
      <c r="G50" s="33"/>
      <c r="H50" s="33"/>
      <c r="I50" s="33"/>
      <c r="J50" s="33"/>
      <c r="K50" s="35"/>
      <c r="L50" s="38"/>
      <c r="M50" s="29"/>
      <c r="N50" s="30"/>
      <c r="O50" s="73">
        <f t="shared" si="1"/>
        <v>0</v>
      </c>
    </row>
    <row r="51" spans="2:15" s="10" customFormat="1" ht="14.25" customHeight="1">
      <c r="B51" s="86"/>
      <c r="C51" s="87"/>
      <c r="D51" s="88"/>
      <c r="E51" s="89"/>
      <c r="F51" s="90"/>
      <c r="G51" s="90"/>
      <c r="H51" s="90"/>
      <c r="I51" s="90"/>
      <c r="J51" s="90"/>
      <c r="K51" s="90"/>
      <c r="L51" s="91"/>
      <c r="O51" s="73">
        <f t="shared" si="1"/>
        <v>0</v>
      </c>
    </row>
    <row r="52" spans="2:15" s="10" customFormat="1" ht="14.25" customHeight="1">
      <c r="B52" s="67"/>
      <c r="C52" s="44"/>
      <c r="D52" s="65"/>
      <c r="E52" s="74"/>
      <c r="F52" s="40"/>
      <c r="G52" s="40"/>
      <c r="H52" s="33"/>
      <c r="I52" s="33"/>
      <c r="J52" s="33"/>
      <c r="K52" s="35"/>
      <c r="L52" s="38"/>
      <c r="O52" s="73">
        <f t="shared" si="1"/>
        <v>0</v>
      </c>
    </row>
    <row r="53" spans="2:15" s="10" customFormat="1" ht="14.25" customHeight="1">
      <c r="B53" s="67"/>
      <c r="C53" s="44"/>
      <c r="D53" s="65"/>
      <c r="E53" s="74"/>
      <c r="F53" s="40"/>
      <c r="G53" s="33"/>
      <c r="H53" s="33"/>
      <c r="I53" s="33"/>
      <c r="J53" s="33"/>
      <c r="K53" s="35"/>
      <c r="L53" s="38"/>
      <c r="O53" s="73">
        <f t="shared" si="1"/>
        <v>0</v>
      </c>
    </row>
    <row r="54" spans="2:15" s="10" customFormat="1" ht="14.25" customHeight="1">
      <c r="B54" s="67"/>
      <c r="C54" s="44"/>
      <c r="D54" s="65"/>
      <c r="E54" s="74"/>
      <c r="F54" s="40"/>
      <c r="G54" s="33"/>
      <c r="H54" s="33"/>
      <c r="I54" s="33"/>
      <c r="J54" s="33"/>
      <c r="K54" s="35"/>
      <c r="L54" s="38"/>
      <c r="O54" s="73">
        <f t="shared" si="1"/>
        <v>0</v>
      </c>
    </row>
    <row r="55" spans="2:15" s="10" customFormat="1" ht="14.25" customHeight="1">
      <c r="B55" s="67"/>
      <c r="C55" s="44"/>
      <c r="D55" s="65"/>
      <c r="E55" s="74"/>
      <c r="F55" s="40"/>
      <c r="G55" s="33"/>
      <c r="H55" s="33"/>
      <c r="I55" s="33"/>
      <c r="J55" s="33"/>
      <c r="K55" s="35"/>
      <c r="L55" s="38"/>
      <c r="O55" s="73">
        <f t="shared" si="1"/>
        <v>0</v>
      </c>
    </row>
    <row r="56" spans="2:15" s="10" customFormat="1" ht="14.25" customHeight="1">
      <c r="B56" s="67"/>
      <c r="C56" s="44"/>
      <c r="D56" s="65"/>
      <c r="E56" s="74"/>
      <c r="F56" s="40"/>
      <c r="G56" s="33"/>
      <c r="H56" s="33"/>
      <c r="I56" s="33"/>
      <c r="J56" s="33"/>
      <c r="K56" s="35"/>
      <c r="L56" s="38"/>
      <c r="O56" s="73">
        <f t="shared" si="1"/>
        <v>0</v>
      </c>
    </row>
    <row r="57" spans="2:15" s="10" customFormat="1" ht="14.25" customHeight="1">
      <c r="B57" s="67"/>
      <c r="C57" s="44"/>
      <c r="D57" s="65"/>
      <c r="E57" s="74"/>
      <c r="F57" s="40"/>
      <c r="G57" s="33"/>
      <c r="H57" s="33"/>
      <c r="I57" s="33"/>
      <c r="J57" s="33"/>
      <c r="K57" s="35"/>
      <c r="L57" s="38"/>
      <c r="O57" s="73">
        <f t="shared" si="1"/>
        <v>0</v>
      </c>
    </row>
    <row r="58" spans="2:15" s="10" customFormat="1" ht="14.25" customHeight="1">
      <c r="B58" s="86"/>
      <c r="C58" s="87"/>
      <c r="D58" s="88"/>
      <c r="E58" s="89"/>
      <c r="F58" s="90"/>
      <c r="G58" s="90"/>
      <c r="H58" s="90"/>
      <c r="I58" s="90"/>
      <c r="J58" s="90"/>
      <c r="K58" s="90"/>
      <c r="L58" s="91"/>
      <c r="O58" s="73">
        <f t="shared" si="1"/>
        <v>0</v>
      </c>
    </row>
    <row r="59" spans="2:15" s="10" customFormat="1" ht="14.25" customHeight="1">
      <c r="B59" s="67"/>
      <c r="C59" s="43"/>
      <c r="D59" s="65"/>
      <c r="E59" s="74"/>
      <c r="F59" s="40"/>
      <c r="G59" s="33"/>
      <c r="H59" s="33"/>
      <c r="I59" s="33"/>
      <c r="J59" s="33"/>
      <c r="K59" s="35"/>
      <c r="L59" s="38"/>
      <c r="O59" s="73">
        <f t="shared" si="1"/>
        <v>0</v>
      </c>
    </row>
    <row r="60" spans="2:15" s="10" customFormat="1" ht="14.25" customHeight="1">
      <c r="B60" s="67"/>
      <c r="C60" s="44"/>
      <c r="D60" s="65"/>
      <c r="E60" s="74"/>
      <c r="F60" s="40"/>
      <c r="G60" s="33"/>
      <c r="H60" s="33"/>
      <c r="I60" s="33"/>
      <c r="J60" s="33"/>
      <c r="K60" s="35"/>
      <c r="L60" s="38"/>
      <c r="O60" s="73">
        <f t="shared" si="1"/>
        <v>0</v>
      </c>
    </row>
    <row r="61" spans="2:15" s="10" customFormat="1" ht="14.25" customHeight="1">
      <c r="B61" s="67"/>
      <c r="C61" s="44"/>
      <c r="D61" s="65"/>
      <c r="E61" s="74"/>
      <c r="F61" s="40"/>
      <c r="G61" s="33"/>
      <c r="H61" s="33"/>
      <c r="I61" s="33"/>
      <c r="J61" s="33"/>
      <c r="K61" s="35"/>
      <c r="L61" s="38"/>
      <c r="O61" s="73">
        <f t="shared" si="1"/>
        <v>0</v>
      </c>
    </row>
    <row r="62" spans="2:15" s="10" customFormat="1" ht="14.25" customHeight="1">
      <c r="B62" s="67"/>
      <c r="C62" s="44"/>
      <c r="D62" s="65"/>
      <c r="E62" s="74"/>
      <c r="F62" s="40"/>
      <c r="G62" s="33"/>
      <c r="H62" s="33"/>
      <c r="I62" s="33"/>
      <c r="J62" s="33"/>
      <c r="K62" s="35"/>
      <c r="L62" s="38"/>
      <c r="O62" s="73">
        <f t="shared" si="1"/>
        <v>0</v>
      </c>
    </row>
    <row r="63" spans="2:15" s="10" customFormat="1" ht="14.25" customHeight="1">
      <c r="B63" s="67"/>
      <c r="C63" s="44"/>
      <c r="D63" s="65"/>
      <c r="E63" s="74"/>
      <c r="F63" s="40"/>
      <c r="G63" s="33"/>
      <c r="H63" s="33"/>
      <c r="I63" s="33"/>
      <c r="J63" s="33"/>
      <c r="K63" s="35"/>
      <c r="L63" s="38"/>
      <c r="O63" s="73">
        <f t="shared" si="1"/>
        <v>0</v>
      </c>
    </row>
    <row r="64" spans="2:15" s="10" customFormat="1" ht="14.25" customHeight="1">
      <c r="B64" s="67"/>
      <c r="C64" s="44"/>
      <c r="D64" s="65"/>
      <c r="E64" s="74"/>
      <c r="F64" s="40"/>
      <c r="G64" s="33"/>
      <c r="H64" s="33"/>
      <c r="I64" s="33"/>
      <c r="J64" s="33"/>
      <c r="K64" s="35"/>
      <c r="L64" s="38"/>
      <c r="O64" s="73">
        <f t="shared" si="1"/>
        <v>0</v>
      </c>
    </row>
    <row r="65" spans="2:15" s="10" customFormat="1" ht="14.25" customHeight="1">
      <c r="B65" s="67"/>
      <c r="C65" s="44"/>
      <c r="D65" s="65"/>
      <c r="E65" s="74"/>
      <c r="F65" s="40"/>
      <c r="G65" s="33"/>
      <c r="H65" s="33"/>
      <c r="I65" s="33"/>
      <c r="J65" s="33"/>
      <c r="K65" s="35"/>
      <c r="L65" s="38"/>
      <c r="O65" s="73">
        <f t="shared" si="1"/>
        <v>0</v>
      </c>
    </row>
    <row r="66" spans="2:15" s="10" customFormat="1" ht="14.25" customHeight="1">
      <c r="B66" s="67"/>
      <c r="C66" s="44"/>
      <c r="D66" s="65"/>
      <c r="E66" s="74"/>
      <c r="F66" s="40"/>
      <c r="G66" s="33"/>
      <c r="H66" s="33"/>
      <c r="I66" s="33"/>
      <c r="J66" s="33"/>
      <c r="K66" s="35"/>
      <c r="L66" s="38"/>
      <c r="O66" s="73">
        <f t="shared" si="1"/>
        <v>0</v>
      </c>
    </row>
    <row r="67" spans="2:15" s="10" customFormat="1" ht="14.25" customHeight="1">
      <c r="B67" s="67"/>
      <c r="C67" s="44"/>
      <c r="D67" s="65"/>
      <c r="E67" s="74"/>
      <c r="F67" s="40"/>
      <c r="G67" s="33"/>
      <c r="H67" s="33"/>
      <c r="I67" s="33"/>
      <c r="J67" s="33"/>
      <c r="K67" s="35"/>
      <c r="L67" s="38"/>
      <c r="O67" s="73">
        <f t="shared" si="1"/>
        <v>0</v>
      </c>
    </row>
    <row r="68" spans="2:15" s="10" customFormat="1" ht="14.25" customHeight="1">
      <c r="B68" s="67"/>
      <c r="C68" s="44"/>
      <c r="D68" s="65"/>
      <c r="E68" s="74"/>
      <c r="F68" s="40"/>
      <c r="G68" s="33"/>
      <c r="H68" s="33"/>
      <c r="I68" s="33"/>
      <c r="J68" s="33"/>
      <c r="K68" s="35"/>
      <c r="L68" s="38"/>
      <c r="O68" s="73">
        <f t="shared" si="1"/>
        <v>0</v>
      </c>
    </row>
    <row r="69" spans="2:15" s="10" customFormat="1" ht="14.25" customHeight="1">
      <c r="B69" s="67"/>
      <c r="C69" s="44"/>
      <c r="D69" s="65"/>
      <c r="E69" s="74"/>
      <c r="F69" s="40"/>
      <c r="G69" s="33"/>
      <c r="H69" s="33"/>
      <c r="I69" s="33"/>
      <c r="J69" s="33"/>
      <c r="K69" s="35"/>
      <c r="L69" s="38"/>
      <c r="O69" s="73">
        <f t="shared" si="1"/>
        <v>0</v>
      </c>
    </row>
    <row r="70" spans="2:15" s="10" customFormat="1" ht="14.25" customHeight="1">
      <c r="B70" s="67"/>
      <c r="C70" s="44"/>
      <c r="D70" s="65"/>
      <c r="E70" s="74"/>
      <c r="F70" s="40"/>
      <c r="G70" s="33"/>
      <c r="H70" s="33"/>
      <c r="I70" s="33"/>
      <c r="J70" s="33"/>
      <c r="K70" s="35"/>
      <c r="L70" s="38"/>
      <c r="O70" s="73">
        <f t="shared" si="1"/>
        <v>0</v>
      </c>
    </row>
    <row r="71" spans="2:15" s="10" customFormat="1" ht="14.25" customHeight="1">
      <c r="B71" s="67"/>
      <c r="C71" s="44"/>
      <c r="D71" s="65"/>
      <c r="E71" s="74"/>
      <c r="F71" s="40"/>
      <c r="G71" s="33"/>
      <c r="H71" s="33"/>
      <c r="I71" s="33"/>
      <c r="J71" s="33"/>
      <c r="K71" s="35"/>
      <c r="L71" s="38"/>
      <c r="O71" s="73">
        <f t="shared" si="1"/>
        <v>0</v>
      </c>
    </row>
    <row r="72" spans="2:15" s="10" customFormat="1" ht="14.25" customHeight="1">
      <c r="B72" s="67"/>
      <c r="C72" s="44"/>
      <c r="D72" s="65"/>
      <c r="E72" s="74"/>
      <c r="F72" s="40"/>
      <c r="G72" s="33"/>
      <c r="H72" s="33"/>
      <c r="I72" s="33"/>
      <c r="J72" s="33"/>
      <c r="K72" s="35"/>
      <c r="L72" s="38"/>
      <c r="O72" s="73">
        <f t="shared" si="1"/>
        <v>0</v>
      </c>
    </row>
    <row r="73" spans="2:15" s="10" customFormat="1" ht="14.25" customHeight="1">
      <c r="B73" s="67"/>
      <c r="C73" s="44"/>
      <c r="D73" s="65"/>
      <c r="E73" s="74"/>
      <c r="F73" s="40"/>
      <c r="G73" s="33"/>
      <c r="H73" s="33"/>
      <c r="I73" s="33"/>
      <c r="J73" s="33"/>
      <c r="K73" s="35"/>
      <c r="L73" s="38"/>
      <c r="O73" s="73">
        <f t="shared" si="1"/>
        <v>0</v>
      </c>
    </row>
    <row r="74" spans="2:15" s="10" customFormat="1" ht="14.25" customHeight="1">
      <c r="B74" s="67"/>
      <c r="C74" s="44"/>
      <c r="D74" s="65"/>
      <c r="E74" s="74"/>
      <c r="F74" s="40"/>
      <c r="G74" s="33"/>
      <c r="H74" s="33"/>
      <c r="I74" s="33"/>
      <c r="J74" s="33"/>
      <c r="K74" s="35"/>
      <c r="L74" s="38"/>
      <c r="O74" s="73">
        <f t="shared" si="1"/>
        <v>0</v>
      </c>
    </row>
    <row r="75" spans="2:15" s="10" customFormat="1" ht="14.25" customHeight="1">
      <c r="B75" s="67"/>
      <c r="C75" s="44"/>
      <c r="D75" s="65"/>
      <c r="E75" s="74"/>
      <c r="F75" s="40"/>
      <c r="G75" s="33"/>
      <c r="H75" s="33"/>
      <c r="I75" s="33"/>
      <c r="J75" s="33"/>
      <c r="K75" s="35"/>
      <c r="L75" s="38"/>
      <c r="O75" s="73">
        <f t="shared" si="1"/>
        <v>0</v>
      </c>
    </row>
    <row r="76" spans="2:15" s="10" customFormat="1" ht="14.25" customHeight="1">
      <c r="B76" s="67"/>
      <c r="C76" s="44"/>
      <c r="D76" s="65"/>
      <c r="E76" s="74"/>
      <c r="F76" s="40"/>
      <c r="G76" s="33"/>
      <c r="H76" s="33"/>
      <c r="I76" s="33"/>
      <c r="J76" s="33"/>
      <c r="K76" s="35"/>
      <c r="L76" s="38"/>
      <c r="O76" s="73">
        <f t="shared" si="1"/>
        <v>0</v>
      </c>
    </row>
    <row r="77" spans="2:15" s="10" customFormat="1" ht="14.25" customHeight="1">
      <c r="B77" s="67"/>
      <c r="C77" s="44"/>
      <c r="D77" s="65"/>
      <c r="E77" s="74"/>
      <c r="F77" s="40"/>
      <c r="G77" s="33"/>
      <c r="H77" s="33"/>
      <c r="I77" s="33"/>
      <c r="J77" s="33"/>
      <c r="K77" s="35"/>
      <c r="L77" s="38"/>
      <c r="O77" s="73">
        <f t="shared" si="1"/>
        <v>0</v>
      </c>
    </row>
    <row r="78" spans="2:15" s="10" customFormat="1" ht="14.25" customHeight="1">
      <c r="B78" s="67"/>
      <c r="C78" s="44"/>
      <c r="D78" s="65"/>
      <c r="E78" s="74"/>
      <c r="F78" s="40"/>
      <c r="G78" s="33"/>
      <c r="H78" s="33"/>
      <c r="I78" s="33"/>
      <c r="J78" s="33"/>
      <c r="K78" s="35"/>
      <c r="L78" s="38"/>
      <c r="O78" s="73">
        <f t="shared" si="1"/>
        <v>0</v>
      </c>
    </row>
    <row r="79" spans="2:15" s="10" customFormat="1" ht="14.25" customHeight="1">
      <c r="B79" s="67"/>
      <c r="C79" s="44"/>
      <c r="D79" s="65"/>
      <c r="E79" s="74"/>
      <c r="F79" s="40"/>
      <c r="G79" s="33"/>
      <c r="H79" s="33"/>
      <c r="I79" s="33"/>
      <c r="J79" s="33"/>
      <c r="K79" s="35"/>
      <c r="L79" s="38"/>
      <c r="O79" s="73">
        <f t="shared" si="1"/>
        <v>0</v>
      </c>
    </row>
    <row r="80" spans="2:15" s="10" customFormat="1" ht="14.25" customHeight="1">
      <c r="B80" s="67"/>
      <c r="C80" s="44"/>
      <c r="D80" s="65"/>
      <c r="E80" s="74"/>
      <c r="F80" s="40"/>
      <c r="G80" s="33"/>
      <c r="H80" s="33"/>
      <c r="I80" s="33"/>
      <c r="J80" s="33"/>
      <c r="K80" s="35"/>
      <c r="L80" s="38"/>
      <c r="O80" s="73">
        <f t="shared" si="1"/>
        <v>0</v>
      </c>
    </row>
    <row r="81" spans="2:15" s="10" customFormat="1" ht="14.25" customHeight="1">
      <c r="B81" s="67"/>
      <c r="C81" s="44"/>
      <c r="D81" s="65"/>
      <c r="E81" s="74"/>
      <c r="F81" s="40"/>
      <c r="G81" s="33"/>
      <c r="H81" s="33"/>
      <c r="I81" s="33"/>
      <c r="J81" s="33"/>
      <c r="K81" s="35"/>
      <c r="L81" s="38"/>
      <c r="O81" s="73">
        <f t="shared" si="1"/>
        <v>0</v>
      </c>
    </row>
    <row r="82" spans="2:15" s="10" customFormat="1" ht="14.25" customHeight="1">
      <c r="B82" s="67"/>
      <c r="C82" s="44"/>
      <c r="D82" s="65"/>
      <c r="E82" s="74"/>
      <c r="F82" s="40"/>
      <c r="G82" s="33"/>
      <c r="H82" s="33"/>
      <c r="I82" s="33"/>
      <c r="J82" s="33"/>
      <c r="K82" s="35"/>
      <c r="L82" s="38"/>
      <c r="O82" s="73">
        <f t="shared" si="1"/>
        <v>0</v>
      </c>
    </row>
    <row r="83" spans="2:15" s="10" customFormat="1" ht="14.25" customHeight="1">
      <c r="B83" s="67"/>
      <c r="C83" s="44"/>
      <c r="D83" s="65"/>
      <c r="E83" s="74"/>
      <c r="F83" s="40"/>
      <c r="G83" s="33"/>
      <c r="H83" s="33"/>
      <c r="I83" s="33"/>
      <c r="J83" s="33"/>
      <c r="K83" s="35"/>
      <c r="L83" s="38"/>
      <c r="O83" s="73">
        <f t="shared" si="1"/>
        <v>0</v>
      </c>
    </row>
    <row r="84" spans="2:15" s="10" customFormat="1" ht="14.25" customHeight="1">
      <c r="B84" s="67"/>
      <c r="C84" s="44"/>
      <c r="D84" s="65"/>
      <c r="E84" s="74"/>
      <c r="F84" s="40"/>
      <c r="G84" s="33"/>
      <c r="H84" s="33"/>
      <c r="I84" s="33"/>
      <c r="J84" s="33"/>
      <c r="K84" s="35"/>
      <c r="L84" s="38"/>
      <c r="O84" s="73">
        <f t="shared" si="1"/>
        <v>0</v>
      </c>
    </row>
    <row r="85" spans="2:15" s="10" customFormat="1" ht="14.25" customHeight="1">
      <c r="B85" s="67"/>
      <c r="C85" s="44"/>
      <c r="D85" s="65"/>
      <c r="E85" s="74"/>
      <c r="F85" s="40"/>
      <c r="G85" s="33"/>
      <c r="H85" s="33"/>
      <c r="I85" s="33"/>
      <c r="J85" s="33"/>
      <c r="K85" s="35"/>
      <c r="L85" s="38"/>
      <c r="O85" s="73">
        <f t="shared" si="1"/>
        <v>0</v>
      </c>
    </row>
    <row r="86" spans="2:15" s="10" customFormat="1" ht="14.25" customHeight="1">
      <c r="B86" s="67"/>
      <c r="C86" s="44"/>
      <c r="D86" s="65"/>
      <c r="E86" s="74"/>
      <c r="F86" s="40"/>
      <c r="G86" s="33"/>
      <c r="H86" s="33"/>
      <c r="I86" s="33"/>
      <c r="J86" s="33"/>
      <c r="K86" s="35"/>
      <c r="L86" s="38"/>
      <c r="O86" s="73">
        <f t="shared" ref="O86:O114" si="2">+COUNTA(E86:L86)</f>
        <v>0</v>
      </c>
    </row>
    <row r="87" spans="2:15" s="10" customFormat="1" ht="14.25" customHeight="1">
      <c r="B87" s="67"/>
      <c r="C87" s="44"/>
      <c r="D87" s="65"/>
      <c r="E87" s="74"/>
      <c r="F87" s="40"/>
      <c r="G87" s="33"/>
      <c r="H87" s="33"/>
      <c r="I87" s="33"/>
      <c r="J87" s="33"/>
      <c r="K87" s="35"/>
      <c r="L87" s="38"/>
      <c r="O87" s="73">
        <f t="shared" si="2"/>
        <v>0</v>
      </c>
    </row>
    <row r="88" spans="2:15" s="10" customFormat="1" ht="14.25" customHeight="1">
      <c r="B88" s="67"/>
      <c r="C88" s="44"/>
      <c r="D88" s="65"/>
      <c r="E88" s="74"/>
      <c r="F88" s="40"/>
      <c r="G88" s="33"/>
      <c r="H88" s="33"/>
      <c r="I88" s="33"/>
      <c r="J88" s="33"/>
      <c r="K88" s="35"/>
      <c r="L88" s="38"/>
      <c r="O88" s="73">
        <f t="shared" si="2"/>
        <v>0</v>
      </c>
    </row>
    <row r="89" spans="2:15" s="10" customFormat="1" ht="14.25" customHeight="1">
      <c r="B89" s="67"/>
      <c r="C89" s="44"/>
      <c r="D89" s="65"/>
      <c r="E89" s="74"/>
      <c r="F89" s="40"/>
      <c r="G89" s="33"/>
      <c r="H89" s="33"/>
      <c r="I89" s="33"/>
      <c r="J89" s="33"/>
      <c r="K89" s="35"/>
      <c r="L89" s="38"/>
      <c r="O89" s="73">
        <f t="shared" si="2"/>
        <v>0</v>
      </c>
    </row>
    <row r="90" spans="2:15" s="10" customFormat="1" ht="14.25" customHeight="1">
      <c r="B90" s="67"/>
      <c r="C90" s="44"/>
      <c r="D90" s="65"/>
      <c r="E90" s="74"/>
      <c r="F90" s="40"/>
      <c r="G90" s="33"/>
      <c r="H90" s="33"/>
      <c r="I90" s="33"/>
      <c r="J90" s="33"/>
      <c r="K90" s="35"/>
      <c r="L90" s="38"/>
      <c r="O90" s="73">
        <f t="shared" si="2"/>
        <v>0</v>
      </c>
    </row>
    <row r="91" spans="2:15" s="10" customFormat="1" ht="14.25" customHeight="1">
      <c r="B91" s="67"/>
      <c r="C91" s="44"/>
      <c r="D91" s="65"/>
      <c r="E91" s="74"/>
      <c r="F91" s="40"/>
      <c r="G91" s="33"/>
      <c r="H91" s="33"/>
      <c r="I91" s="33"/>
      <c r="J91" s="33"/>
      <c r="K91" s="35"/>
      <c r="L91" s="38"/>
      <c r="O91" s="73">
        <f t="shared" si="2"/>
        <v>0</v>
      </c>
    </row>
    <row r="92" spans="2:15" s="10" customFormat="1" ht="14.25" customHeight="1">
      <c r="B92" s="67"/>
      <c r="C92" s="44"/>
      <c r="D92" s="65"/>
      <c r="E92" s="74"/>
      <c r="F92" s="40"/>
      <c r="G92" s="33"/>
      <c r="H92" s="33"/>
      <c r="I92" s="33"/>
      <c r="J92" s="33"/>
      <c r="K92" s="35"/>
      <c r="L92" s="38"/>
      <c r="O92" s="73">
        <f t="shared" si="2"/>
        <v>0</v>
      </c>
    </row>
    <row r="93" spans="2:15" s="10" customFormat="1" ht="14.25" customHeight="1">
      <c r="B93" s="67"/>
      <c r="C93" s="44"/>
      <c r="D93" s="65"/>
      <c r="E93" s="74"/>
      <c r="F93" s="40"/>
      <c r="G93" s="33"/>
      <c r="H93" s="33"/>
      <c r="I93" s="33"/>
      <c r="J93" s="33"/>
      <c r="K93" s="35"/>
      <c r="L93" s="38"/>
      <c r="O93" s="73">
        <f t="shared" si="2"/>
        <v>0</v>
      </c>
    </row>
    <row r="94" spans="2:15" s="10" customFormat="1" ht="14.25" customHeight="1">
      <c r="B94" s="86"/>
      <c r="C94" s="87"/>
      <c r="D94" s="88"/>
      <c r="E94" s="89"/>
      <c r="F94" s="90"/>
      <c r="G94" s="90"/>
      <c r="H94" s="90"/>
      <c r="I94" s="90"/>
      <c r="J94" s="90"/>
      <c r="K94" s="90"/>
      <c r="L94" s="91"/>
      <c r="O94" s="73">
        <f t="shared" si="2"/>
        <v>0</v>
      </c>
    </row>
    <row r="95" spans="2:15" s="10" customFormat="1" ht="14.25" customHeight="1">
      <c r="B95" s="51"/>
      <c r="C95" s="44"/>
      <c r="D95" s="65"/>
      <c r="E95" s="74"/>
      <c r="F95" s="40"/>
      <c r="G95" s="33"/>
      <c r="H95" s="33"/>
      <c r="I95" s="33"/>
      <c r="J95" s="33"/>
      <c r="K95" s="35"/>
      <c r="L95" s="38"/>
      <c r="O95" s="73">
        <f t="shared" si="2"/>
        <v>0</v>
      </c>
    </row>
    <row r="96" spans="2:15" s="10" customFormat="1" ht="14.25" customHeight="1">
      <c r="B96" s="51"/>
      <c r="C96" s="44"/>
      <c r="D96" s="65"/>
      <c r="E96" s="74"/>
      <c r="F96" s="40"/>
      <c r="G96" s="33"/>
      <c r="H96" s="33"/>
      <c r="I96" s="33"/>
      <c r="J96" s="33"/>
      <c r="K96" s="35"/>
      <c r="L96" s="38"/>
      <c r="O96" s="73">
        <f t="shared" si="2"/>
        <v>0</v>
      </c>
    </row>
    <row r="97" spans="2:15" s="10" customFormat="1" ht="14.25" customHeight="1">
      <c r="B97" s="51"/>
      <c r="C97" s="44"/>
      <c r="D97" s="65"/>
      <c r="E97" s="74"/>
      <c r="F97" s="40"/>
      <c r="G97" s="33"/>
      <c r="H97" s="33"/>
      <c r="I97" s="33"/>
      <c r="J97" s="33"/>
      <c r="K97" s="35"/>
      <c r="L97" s="38"/>
      <c r="O97" s="73">
        <f t="shared" si="2"/>
        <v>0</v>
      </c>
    </row>
    <row r="98" spans="2:15" s="10" customFormat="1" ht="14.25" customHeight="1">
      <c r="B98" s="51"/>
      <c r="C98" s="44"/>
      <c r="D98" s="65"/>
      <c r="E98" s="74"/>
      <c r="F98" s="40"/>
      <c r="G98" s="33"/>
      <c r="H98" s="33"/>
      <c r="I98" s="33"/>
      <c r="J98" s="33"/>
      <c r="K98" s="35"/>
      <c r="L98" s="38"/>
      <c r="O98" s="73">
        <f t="shared" si="2"/>
        <v>0</v>
      </c>
    </row>
    <row r="99" spans="2:15" s="10" customFormat="1" ht="14.25" customHeight="1">
      <c r="B99" s="51"/>
      <c r="C99" s="44"/>
      <c r="D99" s="65"/>
      <c r="E99" s="74"/>
      <c r="F99" s="40"/>
      <c r="G99" s="33"/>
      <c r="H99" s="33"/>
      <c r="I99" s="33"/>
      <c r="J99" s="33"/>
      <c r="K99" s="35"/>
      <c r="L99" s="38"/>
      <c r="O99" s="73">
        <f t="shared" si="2"/>
        <v>0</v>
      </c>
    </row>
    <row r="100" spans="2:15" s="10" customFormat="1" ht="14.25" customHeight="1">
      <c r="B100" s="51"/>
      <c r="C100" s="44"/>
      <c r="D100" s="65"/>
      <c r="E100" s="74"/>
      <c r="F100" s="40"/>
      <c r="G100" s="33"/>
      <c r="H100" s="33"/>
      <c r="I100" s="33"/>
      <c r="J100" s="33"/>
      <c r="K100" s="35"/>
      <c r="L100" s="38"/>
      <c r="O100" s="73">
        <f t="shared" si="2"/>
        <v>0</v>
      </c>
    </row>
    <row r="101" spans="2:15" s="10" customFormat="1" ht="14.25" customHeight="1">
      <c r="B101" s="51"/>
      <c r="C101" s="44"/>
      <c r="D101" s="65"/>
      <c r="E101" s="74"/>
      <c r="F101" s="40"/>
      <c r="G101" s="33"/>
      <c r="H101" s="33"/>
      <c r="I101" s="33"/>
      <c r="J101" s="33"/>
      <c r="K101" s="35"/>
      <c r="L101" s="38"/>
      <c r="O101" s="73">
        <f t="shared" si="2"/>
        <v>0</v>
      </c>
    </row>
    <row r="102" spans="2:15" s="10" customFormat="1" ht="14.25" customHeight="1">
      <c r="B102" s="51"/>
      <c r="C102" s="44"/>
      <c r="D102" s="65"/>
      <c r="E102" s="74"/>
      <c r="F102" s="40"/>
      <c r="G102" s="33"/>
      <c r="H102" s="33"/>
      <c r="I102" s="33"/>
      <c r="J102" s="33"/>
      <c r="K102" s="35"/>
      <c r="L102" s="38"/>
      <c r="O102" s="73">
        <f t="shared" si="2"/>
        <v>0</v>
      </c>
    </row>
    <row r="103" spans="2:15" s="10" customFormat="1" ht="14.25" customHeight="1">
      <c r="B103" s="51"/>
      <c r="C103" s="44"/>
      <c r="D103" s="65"/>
      <c r="E103" s="74"/>
      <c r="F103" s="40"/>
      <c r="G103" s="33"/>
      <c r="H103" s="33"/>
      <c r="I103" s="33"/>
      <c r="J103" s="33"/>
      <c r="K103" s="35"/>
      <c r="L103" s="38"/>
      <c r="O103" s="73">
        <f t="shared" si="2"/>
        <v>0</v>
      </c>
    </row>
    <row r="104" spans="2:15" s="10" customFormat="1" ht="14.25" customHeight="1">
      <c r="B104" s="51"/>
      <c r="C104" s="44"/>
      <c r="D104" s="65"/>
      <c r="E104" s="74"/>
      <c r="F104" s="40"/>
      <c r="G104" s="33"/>
      <c r="H104" s="33"/>
      <c r="I104" s="33"/>
      <c r="J104" s="33"/>
      <c r="K104" s="35"/>
      <c r="L104" s="38"/>
      <c r="O104" s="73">
        <f t="shared" si="2"/>
        <v>0</v>
      </c>
    </row>
    <row r="105" spans="2:15" s="10" customFormat="1" ht="14.25" customHeight="1">
      <c r="B105" s="86"/>
      <c r="C105" s="87"/>
      <c r="D105" s="88"/>
      <c r="E105" s="89"/>
      <c r="F105" s="90"/>
      <c r="G105" s="90"/>
      <c r="H105" s="90"/>
      <c r="I105" s="90"/>
      <c r="J105" s="90"/>
      <c r="K105" s="90"/>
      <c r="L105" s="91"/>
      <c r="O105" s="73">
        <f t="shared" si="2"/>
        <v>0</v>
      </c>
    </row>
    <row r="106" spans="2:15" s="10" customFormat="1" ht="14.25" customHeight="1">
      <c r="B106" s="51"/>
      <c r="C106" s="44"/>
      <c r="D106" s="65"/>
      <c r="E106" s="74"/>
      <c r="F106" s="40"/>
      <c r="G106" s="33"/>
      <c r="H106" s="33"/>
      <c r="I106" s="33"/>
      <c r="J106" s="33"/>
      <c r="K106" s="35"/>
      <c r="L106" s="38"/>
      <c r="O106" s="73">
        <f t="shared" si="2"/>
        <v>0</v>
      </c>
    </row>
    <row r="107" spans="2:15" s="10" customFormat="1" ht="14.25" customHeight="1">
      <c r="B107" s="51"/>
      <c r="C107" s="44"/>
      <c r="D107" s="65"/>
      <c r="E107" s="74"/>
      <c r="F107" s="40"/>
      <c r="G107" s="33"/>
      <c r="H107" s="33"/>
      <c r="I107" s="33"/>
      <c r="J107" s="33"/>
      <c r="K107" s="35"/>
      <c r="L107" s="38"/>
      <c r="O107" s="73">
        <f t="shared" si="2"/>
        <v>0</v>
      </c>
    </row>
    <row r="108" spans="2:15" s="10" customFormat="1" ht="14.25" customHeight="1">
      <c r="B108" s="51"/>
      <c r="C108" s="44"/>
      <c r="D108" s="65"/>
      <c r="E108" s="74"/>
      <c r="F108" s="40"/>
      <c r="G108" s="33"/>
      <c r="H108" s="33"/>
      <c r="I108" s="33"/>
      <c r="J108" s="33"/>
      <c r="K108" s="35"/>
      <c r="L108" s="38"/>
      <c r="O108" s="73">
        <f t="shared" si="2"/>
        <v>0</v>
      </c>
    </row>
    <row r="109" spans="2:15" s="10" customFormat="1" ht="14.25" customHeight="1">
      <c r="B109" s="86"/>
      <c r="C109" s="87"/>
      <c r="D109" s="88"/>
      <c r="E109" s="89"/>
      <c r="F109" s="90"/>
      <c r="G109" s="90"/>
      <c r="H109" s="90"/>
      <c r="I109" s="90"/>
      <c r="J109" s="90"/>
      <c r="K109" s="90"/>
      <c r="L109" s="91"/>
      <c r="O109" s="73">
        <f t="shared" si="2"/>
        <v>0</v>
      </c>
    </row>
    <row r="110" spans="2:15" s="10" customFormat="1" ht="14.25" customHeight="1">
      <c r="B110" s="51"/>
      <c r="C110" s="44"/>
      <c r="D110" s="65"/>
      <c r="E110" s="74"/>
      <c r="F110" s="40"/>
      <c r="G110" s="33"/>
      <c r="H110" s="33"/>
      <c r="I110" s="33"/>
      <c r="J110" s="33"/>
      <c r="K110" s="35"/>
      <c r="L110" s="38"/>
      <c r="O110" s="73">
        <f t="shared" si="2"/>
        <v>0</v>
      </c>
    </row>
    <row r="111" spans="2:15" s="10" customFormat="1" ht="14.25" customHeight="1">
      <c r="B111" s="51"/>
      <c r="C111" s="44"/>
      <c r="D111" s="65"/>
      <c r="E111" s="74"/>
      <c r="F111" s="40"/>
      <c r="G111" s="33"/>
      <c r="H111" s="33"/>
      <c r="I111" s="33"/>
      <c r="J111" s="33"/>
      <c r="K111" s="35"/>
      <c r="L111" s="38"/>
      <c r="O111" s="73">
        <f t="shared" si="2"/>
        <v>0</v>
      </c>
    </row>
    <row r="112" spans="2:15" s="10" customFormat="1" ht="14.25" customHeight="1">
      <c r="B112" s="51"/>
      <c r="C112" s="44"/>
      <c r="D112" s="65"/>
      <c r="E112" s="74"/>
      <c r="F112" s="40"/>
      <c r="G112" s="33"/>
      <c r="H112" s="33"/>
      <c r="I112" s="33"/>
      <c r="J112" s="33"/>
      <c r="K112" s="35"/>
      <c r="L112" s="38"/>
      <c r="O112" s="73">
        <f t="shared" si="2"/>
        <v>0</v>
      </c>
    </row>
    <row r="113" spans="2:15" s="10" customFormat="1" ht="14.25" customHeight="1">
      <c r="B113" s="51"/>
      <c r="C113" s="44"/>
      <c r="D113" s="65"/>
      <c r="E113" s="74"/>
      <c r="F113" s="40"/>
      <c r="G113" s="33"/>
      <c r="H113" s="33"/>
      <c r="I113" s="33"/>
      <c r="J113" s="33"/>
      <c r="K113" s="35"/>
      <c r="L113" s="38"/>
      <c r="O113" s="73">
        <f t="shared" si="2"/>
        <v>0</v>
      </c>
    </row>
    <row r="114" spans="2:15" ht="14.25" customHeight="1">
      <c r="B114" s="52"/>
      <c r="C114" s="53"/>
      <c r="D114" s="66"/>
      <c r="E114" s="76"/>
      <c r="F114" s="54"/>
      <c r="G114" s="54"/>
      <c r="H114" s="54"/>
      <c r="I114" s="54"/>
      <c r="J114" s="54"/>
      <c r="K114" s="55"/>
      <c r="L114" s="56"/>
      <c r="M114" s="10"/>
      <c r="N114" s="10"/>
      <c r="O114" s="73">
        <f t="shared" si="2"/>
        <v>0</v>
      </c>
    </row>
    <row r="115" spans="2:15" ht="14.25" customHeight="1">
      <c r="B115" s="11"/>
      <c r="C115" s="8"/>
      <c r="D115" s="8"/>
      <c r="E115" s="8"/>
      <c r="F115" s="8"/>
      <c r="G115" s="8"/>
      <c r="H115" s="8"/>
      <c r="I115" s="9"/>
      <c r="J115" s="12"/>
      <c r="K115" s="12"/>
      <c r="L115" s="12"/>
      <c r="M115" s="10"/>
      <c r="N115" s="10"/>
    </row>
    <row r="116" spans="2:15" ht="12.75" customHeight="1">
      <c r="B116" s="13"/>
      <c r="C116" s="14"/>
      <c r="D116" s="14"/>
      <c r="E116" s="14"/>
      <c r="F116" s="14"/>
      <c r="G116" s="14"/>
      <c r="H116" s="14"/>
      <c r="I116" s="13"/>
      <c r="J116" s="15"/>
      <c r="K116" s="15"/>
      <c r="L116" s="15"/>
      <c r="M116" s="10"/>
      <c r="N116" s="10"/>
    </row>
    <row r="117" spans="2:15" ht="12.75" customHeight="1">
      <c r="B117" s="13"/>
      <c r="C117" s="14"/>
      <c r="D117" s="14"/>
      <c r="E117" s="14"/>
      <c r="F117" s="14"/>
      <c r="G117" s="14"/>
      <c r="H117" s="14"/>
      <c r="I117" s="13"/>
      <c r="J117" s="15"/>
      <c r="K117" s="15"/>
      <c r="L117" s="15"/>
      <c r="M117" s="10"/>
      <c r="N117" s="10"/>
    </row>
    <row r="118" spans="2:15" ht="12.75" customHeight="1">
      <c r="B118" s="13"/>
      <c r="C118" s="14"/>
      <c r="D118" s="14"/>
      <c r="E118" s="14"/>
      <c r="F118" s="14"/>
      <c r="G118" s="14"/>
      <c r="H118" s="14"/>
      <c r="I118" s="13"/>
      <c r="J118" s="15"/>
      <c r="K118" s="15"/>
      <c r="L118" s="15"/>
      <c r="M118" s="10"/>
      <c r="N118" s="10"/>
    </row>
    <row r="119" spans="2:15" ht="12.75" customHeight="1">
      <c r="B119" s="13"/>
      <c r="C119" s="14"/>
      <c r="D119" s="14"/>
      <c r="E119" s="14"/>
      <c r="F119" s="14"/>
      <c r="G119" s="14"/>
      <c r="H119" s="14"/>
      <c r="I119" s="13"/>
      <c r="J119" s="15"/>
      <c r="K119" s="15"/>
      <c r="L119" s="15"/>
      <c r="M119" s="10"/>
      <c r="N119" s="10"/>
    </row>
    <row r="120" spans="2:15" ht="12.75" customHeight="1">
      <c r="B120" s="13"/>
      <c r="C120" s="14"/>
      <c r="D120" s="14"/>
      <c r="E120" s="14"/>
      <c r="F120" s="14"/>
      <c r="G120" s="14"/>
      <c r="H120" s="14"/>
      <c r="I120" s="13"/>
      <c r="J120" s="15"/>
      <c r="K120" s="15"/>
      <c r="L120" s="15"/>
      <c r="M120" s="10"/>
      <c r="N120" s="10"/>
    </row>
    <row r="121" spans="2:15" ht="12.75" customHeight="1">
      <c r="B121" s="13"/>
      <c r="C121" s="14"/>
      <c r="D121" s="14"/>
      <c r="E121" s="14"/>
      <c r="F121" s="14"/>
      <c r="G121" s="14"/>
      <c r="H121" s="14"/>
      <c r="I121" s="13"/>
      <c r="J121" s="15"/>
      <c r="K121" s="15"/>
      <c r="L121" s="15"/>
      <c r="M121" s="10"/>
      <c r="N121" s="10"/>
    </row>
    <row r="122" spans="2:15" ht="12.75" customHeight="1">
      <c r="B122" s="13"/>
      <c r="C122" s="14"/>
      <c r="D122" s="14"/>
      <c r="E122" s="14"/>
      <c r="F122" s="14"/>
      <c r="G122" s="14"/>
      <c r="H122" s="14"/>
      <c r="I122" s="13"/>
      <c r="J122" s="15"/>
      <c r="K122" s="15"/>
      <c r="L122" s="15"/>
      <c r="M122" s="10"/>
      <c r="N122" s="10"/>
    </row>
    <row r="123" spans="2:15" ht="12.75" customHeight="1">
      <c r="B123" s="13"/>
      <c r="C123" s="14"/>
      <c r="D123" s="14"/>
      <c r="E123" s="14"/>
      <c r="F123" s="14"/>
      <c r="G123" s="14"/>
      <c r="H123" s="14"/>
      <c r="I123" s="13"/>
      <c r="J123" s="15"/>
      <c r="K123" s="15"/>
      <c r="L123" s="15"/>
      <c r="M123" s="10"/>
      <c r="N123" s="10"/>
    </row>
    <row r="124" spans="2:15" ht="12.75" customHeight="1">
      <c r="B124" s="13"/>
      <c r="C124" s="14"/>
      <c r="D124" s="14"/>
      <c r="E124" s="14"/>
      <c r="F124" s="14"/>
      <c r="G124" s="14"/>
      <c r="H124" s="14"/>
      <c r="I124" s="13"/>
      <c r="J124" s="15"/>
      <c r="K124" s="15"/>
      <c r="L124" s="15"/>
      <c r="M124" s="10"/>
      <c r="N124" s="10"/>
    </row>
    <row r="125" spans="2:15" ht="12.75" customHeight="1">
      <c r="B125" s="13"/>
      <c r="C125" s="14"/>
      <c r="D125" s="14"/>
      <c r="E125" s="14"/>
      <c r="F125" s="14"/>
      <c r="G125" s="14"/>
      <c r="H125" s="14"/>
      <c r="I125" s="13"/>
      <c r="J125" s="15"/>
      <c r="K125" s="15"/>
      <c r="L125" s="15"/>
      <c r="M125" s="10"/>
      <c r="N125" s="10"/>
    </row>
    <row r="126" spans="2:15" ht="12.75" customHeight="1">
      <c r="B126" s="13"/>
      <c r="C126" s="14"/>
      <c r="D126" s="14"/>
      <c r="E126" s="14"/>
      <c r="F126" s="14"/>
      <c r="G126" s="14"/>
      <c r="H126" s="14"/>
      <c r="I126" s="13"/>
      <c r="J126" s="15"/>
      <c r="K126" s="15"/>
      <c r="L126" s="15"/>
      <c r="M126" s="10"/>
      <c r="N126" s="10"/>
    </row>
    <row r="127" spans="2:15" ht="12.75" customHeight="1">
      <c r="B127" s="13"/>
      <c r="C127" s="14"/>
      <c r="D127" s="14"/>
      <c r="E127" s="14"/>
      <c r="F127" s="14"/>
      <c r="G127" s="14"/>
      <c r="H127" s="14"/>
      <c r="I127" s="13"/>
      <c r="J127" s="15"/>
      <c r="K127" s="15"/>
      <c r="L127" s="15"/>
      <c r="M127" s="10"/>
      <c r="N127" s="10"/>
    </row>
    <row r="128" spans="2:15" ht="12.75" customHeight="1">
      <c r="B128" s="13"/>
      <c r="C128" s="14"/>
      <c r="D128" s="14"/>
      <c r="E128" s="14"/>
      <c r="F128" s="14"/>
      <c r="G128" s="14"/>
      <c r="H128" s="14"/>
      <c r="I128" s="13"/>
      <c r="J128" s="15"/>
      <c r="K128" s="15"/>
      <c r="L128" s="15"/>
      <c r="M128" s="10"/>
      <c r="N128" s="10"/>
    </row>
    <row r="129" spans="2:14" ht="12.75" customHeight="1">
      <c r="B129" s="13"/>
      <c r="C129" s="14"/>
      <c r="D129" s="14"/>
      <c r="E129" s="14"/>
      <c r="F129" s="14"/>
      <c r="G129" s="14"/>
      <c r="H129" s="14"/>
      <c r="I129" s="13"/>
      <c r="J129" s="15"/>
      <c r="K129" s="15"/>
      <c r="L129" s="15"/>
      <c r="M129" s="10"/>
      <c r="N129" s="10"/>
    </row>
    <row r="130" spans="2:14" ht="12.75" customHeight="1">
      <c r="B130" s="13"/>
      <c r="C130" s="14"/>
      <c r="D130" s="14"/>
      <c r="E130" s="14"/>
      <c r="F130" s="14"/>
      <c r="G130" s="14"/>
      <c r="H130" s="14"/>
      <c r="I130" s="13"/>
      <c r="J130" s="15"/>
      <c r="K130" s="15"/>
      <c r="L130" s="15"/>
      <c r="M130" s="10"/>
      <c r="N130" s="10"/>
    </row>
    <row r="131" spans="2:14" ht="12.75" customHeight="1">
      <c r="B131" s="13"/>
      <c r="C131" s="14"/>
      <c r="D131" s="14"/>
      <c r="E131" s="14"/>
      <c r="F131" s="14"/>
      <c r="G131" s="14"/>
      <c r="H131" s="14"/>
      <c r="I131" s="13"/>
      <c r="J131" s="15"/>
      <c r="K131" s="15"/>
      <c r="L131" s="15"/>
      <c r="M131" s="10"/>
      <c r="N131" s="10"/>
    </row>
    <row r="132" spans="2:14" ht="12.75" customHeight="1">
      <c r="B132" s="13"/>
      <c r="C132" s="14"/>
      <c r="D132" s="14"/>
      <c r="E132" s="14"/>
      <c r="F132" s="14"/>
      <c r="G132" s="14"/>
      <c r="H132" s="14"/>
      <c r="I132" s="13"/>
      <c r="J132" s="15"/>
      <c r="K132" s="15"/>
      <c r="L132" s="15"/>
      <c r="M132" s="10"/>
      <c r="N132" s="10"/>
    </row>
    <row r="133" spans="2:14" ht="12.75" customHeight="1">
      <c r="B133" s="13"/>
      <c r="C133" s="14"/>
      <c r="D133" s="14"/>
      <c r="E133" s="14"/>
      <c r="F133" s="14"/>
      <c r="G133" s="14"/>
      <c r="H133" s="14"/>
      <c r="I133" s="13"/>
      <c r="J133" s="15"/>
      <c r="K133" s="15"/>
      <c r="L133" s="15"/>
      <c r="M133" s="10"/>
      <c r="N133" s="10"/>
    </row>
    <row r="134" spans="2:14" ht="12.75" customHeight="1">
      <c r="B134" s="13"/>
      <c r="C134" s="14"/>
      <c r="D134" s="14"/>
      <c r="E134" s="14"/>
      <c r="F134" s="14"/>
      <c r="G134" s="14"/>
      <c r="H134" s="14"/>
      <c r="I134" s="13"/>
      <c r="J134" s="15"/>
      <c r="K134" s="15"/>
      <c r="L134" s="15"/>
      <c r="M134" s="10"/>
      <c r="N134" s="10"/>
    </row>
    <row r="135" spans="2:14" ht="12.75" customHeight="1">
      <c r="B135" s="13"/>
      <c r="C135" s="14"/>
      <c r="D135" s="14"/>
      <c r="E135" s="14"/>
      <c r="F135" s="14"/>
      <c r="G135" s="14"/>
      <c r="H135" s="14"/>
      <c r="I135" s="13"/>
      <c r="J135" s="15"/>
      <c r="K135" s="15"/>
      <c r="L135" s="15"/>
    </row>
    <row r="136" spans="2:14" ht="12.75" customHeight="1">
      <c r="B136" s="13"/>
      <c r="C136" s="14"/>
      <c r="D136" s="14"/>
      <c r="E136" s="14"/>
      <c r="F136" s="14"/>
      <c r="G136" s="14"/>
      <c r="H136" s="14"/>
      <c r="I136" s="13"/>
      <c r="J136" s="15"/>
      <c r="K136" s="15"/>
      <c r="L136" s="15"/>
    </row>
    <row r="137" spans="2:14">
      <c r="B137" s="13"/>
      <c r="C137" s="14"/>
      <c r="D137" s="14"/>
      <c r="E137" s="14"/>
      <c r="F137" s="14"/>
      <c r="G137" s="14"/>
      <c r="H137" s="14"/>
      <c r="I137" s="13"/>
      <c r="J137" s="15"/>
      <c r="K137" s="15"/>
      <c r="L137" s="15"/>
    </row>
    <row r="138" spans="2:14">
      <c r="B138" s="13"/>
      <c r="C138" s="14"/>
      <c r="D138" s="14"/>
      <c r="E138" s="14"/>
      <c r="F138" s="14"/>
      <c r="G138" s="14"/>
      <c r="H138" s="14"/>
      <c r="I138" s="13"/>
      <c r="J138" s="15"/>
      <c r="K138" s="15"/>
      <c r="L138" s="15"/>
    </row>
    <row r="139" spans="2:14">
      <c r="B139" s="13"/>
      <c r="C139" s="14"/>
      <c r="D139" s="14"/>
      <c r="E139" s="14"/>
      <c r="F139" s="14"/>
      <c r="G139" s="14"/>
      <c r="H139" s="14"/>
      <c r="I139" s="13"/>
      <c r="J139" s="15"/>
      <c r="K139" s="15"/>
      <c r="L139" s="15"/>
    </row>
    <row r="140" spans="2:14">
      <c r="B140" s="13"/>
      <c r="C140" s="14"/>
      <c r="D140" s="14"/>
      <c r="E140" s="14"/>
      <c r="F140" s="14"/>
      <c r="G140" s="14"/>
      <c r="H140" s="14"/>
      <c r="I140" s="13"/>
      <c r="J140" s="15"/>
      <c r="K140" s="15"/>
      <c r="L140" s="15"/>
    </row>
    <row r="141" spans="2:14">
      <c r="B141" s="13"/>
      <c r="C141" s="14"/>
      <c r="D141" s="14"/>
      <c r="E141" s="14"/>
      <c r="F141" s="14"/>
      <c r="G141" s="14"/>
      <c r="H141" s="14"/>
      <c r="I141" s="13"/>
      <c r="J141" s="15"/>
      <c r="K141" s="15"/>
      <c r="L141" s="15"/>
    </row>
    <row r="142" spans="2:14">
      <c r="B142" s="13"/>
      <c r="C142" s="14"/>
      <c r="D142" s="14"/>
      <c r="E142" s="14"/>
      <c r="F142" s="14"/>
      <c r="G142" s="14"/>
      <c r="H142" s="14"/>
      <c r="I142" s="13"/>
      <c r="J142" s="15"/>
      <c r="K142" s="15"/>
      <c r="L142" s="15"/>
    </row>
    <row r="143" spans="2:14">
      <c r="B143" s="13"/>
      <c r="C143" s="14"/>
      <c r="D143" s="14"/>
      <c r="E143" s="14"/>
      <c r="F143" s="14"/>
      <c r="G143" s="14"/>
      <c r="H143" s="14"/>
      <c r="I143" s="13"/>
      <c r="J143" s="15"/>
      <c r="K143" s="15"/>
      <c r="L143" s="15"/>
    </row>
  </sheetData>
  <autoFilter ref="A1:A136" xr:uid="{96DF53C9-F31D-4396-8490-94739765251E}"/>
  <mergeCells count="15">
    <mergeCell ref="G8:G10"/>
    <mergeCell ref="C20:D20"/>
    <mergeCell ref="E20:L20"/>
    <mergeCell ref="J3:L3"/>
    <mergeCell ref="E6:L6"/>
    <mergeCell ref="B6:D6"/>
    <mergeCell ref="E12:L12"/>
    <mergeCell ref="H8:H10"/>
    <mergeCell ref="I8:I10"/>
    <mergeCell ref="J8:J10"/>
    <mergeCell ref="K8:K10"/>
    <mergeCell ref="L8:L10"/>
    <mergeCell ref="C12:D12"/>
    <mergeCell ref="E8:E10"/>
    <mergeCell ref="F8:F10"/>
  </mergeCells>
  <phoneticPr fontId="35" type="noConversion"/>
  <pageMargins left="0.39370078740157483" right="0.19685039370078741" top="1.1811023622047245" bottom="0.39370078740157483" header="0.39370078740157483" footer="0.19685039370078741"/>
  <pageSetup paperSize="9" scale="56" fitToHeight="0" orientation="portrait" r:id="rId1"/>
  <headerFooter>
    <oddHeader>&amp;R&amp;G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47703B332C4C46BD3FA498816E6C3C" ma:contentTypeVersion="0" ma:contentTypeDescription="Create a new document." ma:contentTypeScope="" ma:versionID="cb1c7bed8feccb621690f096d20c73e0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06D0CF-BF08-419B-8F62-F07472D2D8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87FFCB51-D4BE-4DCB-963E-39DB1ECEF3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9BE4E8-B056-437A-96B0-F081E78E46BC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779-LPP</vt:lpstr>
      <vt:lpstr>'779-LPP'!Print_Area</vt:lpstr>
      <vt:lpstr>'779-LPP'!Print_Titles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Campos</dc:creator>
  <cp:lastModifiedBy>David Gama</cp:lastModifiedBy>
  <cp:lastPrinted>2024-10-25T10:55:45Z</cp:lastPrinted>
  <dcterms:created xsi:type="dcterms:W3CDTF">2005-06-23T10:07:52Z</dcterms:created>
  <dcterms:modified xsi:type="dcterms:W3CDTF">2025-11-27T02:21:54Z</dcterms:modified>
</cp:coreProperties>
</file>